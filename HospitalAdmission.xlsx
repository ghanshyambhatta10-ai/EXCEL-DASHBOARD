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itadmin\Desktop\"/>
    </mc:Choice>
  </mc:AlternateContent>
  <xr:revisionPtr revIDLastSave="0" documentId="13_ncr:1_{9B6DE885-69C2-4488-8D97-A9332900C06A}" xr6:coauthVersionLast="47" xr6:coauthVersionMax="47" xr10:uidLastSave="{00000000-0000-0000-0000-000000000000}"/>
  <bookViews>
    <workbookView xWindow="-120" yWindow="-120" windowWidth="29040" windowHeight="15720" activeTab="4" xr2:uid="{00000000-000D-0000-FFFF-FFFF00000000}"/>
  </bookViews>
  <sheets>
    <sheet name="Sheet1" sheetId="4" r:id="rId1"/>
    <sheet name="Sheet2" sheetId="5" r:id="rId2"/>
    <sheet name="Sheet3" sheetId="6" r:id="rId3"/>
    <sheet name="Sheet4" sheetId="7" r:id="rId4"/>
    <sheet name="dashboard" sheetId="8" r:id="rId5"/>
    <sheet name="Admissions by Payer" sheetId="3" r:id="rId6"/>
  </sheets>
  <definedNames>
    <definedName name="_xlnm.Print_Area" localSheetId="5">'Admissions by Payer'!$B$1:$J$98</definedName>
    <definedName name="_xlnm.Print_Titles" localSheetId="5">'Admissions by Payer'!$1:$2</definedName>
    <definedName name="Slicer_City">#N/A</definedName>
    <definedName name="Slicer_Qtr">#N/A</definedName>
    <definedName name="Slicer_Report_Year_End_Date">#N/A</definedName>
    <definedName name="TitleRegion1.B1.AC158.1">#REF!</definedName>
    <definedName name="TitleRegion1.B1.X159.2">'Admissions by Payer'!#REF!</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 i="4" l="1"/>
  <c r="J29" i="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I4" i="3"/>
  <c r="I5" i="3"/>
  <c r="I7" i="3"/>
  <c r="I8" i="3"/>
  <c r="I3" i="3"/>
  <c r="I2" i="3"/>
  <c r="I6"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alcChain>
</file>

<file path=xl/sharedStrings.xml><?xml version="1.0" encoding="utf-8"?>
<sst xmlns="http://schemas.openxmlformats.org/spreadsheetml/2006/main" count="463" uniqueCount="89">
  <si>
    <t>Hospital Name</t>
  </si>
  <si>
    <t>HCCIS ID</t>
  </si>
  <si>
    <t>City</t>
  </si>
  <si>
    <t>Affiliation</t>
  </si>
  <si>
    <t>County</t>
  </si>
  <si>
    <t>Report Year End Date</t>
  </si>
  <si>
    <t>(#4504)</t>
  </si>
  <si>
    <t>Essentia Health Ada</t>
  </si>
  <si>
    <t>Essentia Health</t>
  </si>
  <si>
    <t>Ada</t>
  </si>
  <si>
    <t>Norman</t>
  </si>
  <si>
    <t>Riverwood Healthcare Center</t>
  </si>
  <si>
    <t>No Affiliation</t>
  </si>
  <si>
    <t>Aitkin</t>
  </si>
  <si>
    <t>Mayo Clinic</t>
  </si>
  <si>
    <t>Albert Lea</t>
  </si>
  <si>
    <t>Freeborn</t>
  </si>
  <si>
    <t>Alomere Health</t>
  </si>
  <si>
    <t>Alexandria</t>
  </si>
  <si>
    <t>Douglas</t>
  </si>
  <si>
    <t>Dept of Human Services, State of MN</t>
  </si>
  <si>
    <t>Annandale</t>
  </si>
  <si>
    <t>Wright</t>
  </si>
  <si>
    <t>Anoka</t>
  </si>
  <si>
    <t>Appleton Area Health</t>
  </si>
  <si>
    <t>Appleton</t>
  </si>
  <si>
    <t>Swift</t>
  </si>
  <si>
    <t>Ridgeview Sibley Medical Center</t>
  </si>
  <si>
    <t>Ridgeview Medical Center</t>
  </si>
  <si>
    <t>Arlington</t>
  </si>
  <si>
    <t>Sibley</t>
  </si>
  <si>
    <t>Essentia Health Northern Pines</t>
  </si>
  <si>
    <t>Aurora</t>
  </si>
  <si>
    <t>St. Louis</t>
  </si>
  <si>
    <t>Sanford Bagley Medical Center</t>
  </si>
  <si>
    <t>Sanford Health</t>
  </si>
  <si>
    <t>Bagley</t>
  </si>
  <si>
    <t>Clearwater</t>
  </si>
  <si>
    <t>Catholic Health Initiatives</t>
  </si>
  <si>
    <t>Baudette</t>
  </si>
  <si>
    <t>Lake Of The Woods</t>
  </si>
  <si>
    <t>Baxter</t>
  </si>
  <si>
    <t>Crow Wing</t>
  </si>
  <si>
    <t>Bemidji</t>
  </si>
  <si>
    <t>Beltrami</t>
  </si>
  <si>
    <t>CentraCare Health System</t>
  </si>
  <si>
    <t>Benson</t>
  </si>
  <si>
    <t>Bigfork</t>
  </si>
  <si>
    <t>Itasca</t>
  </si>
  <si>
    <t>Blue Earth</t>
  </si>
  <si>
    <t>Faribault</t>
  </si>
  <si>
    <t>Brainerd</t>
  </si>
  <si>
    <t>Breckenridge</t>
  </si>
  <si>
    <t>Wilkin</t>
  </si>
  <si>
    <t>Brooklyn Park</t>
  </si>
  <si>
    <t>Hennepin</t>
  </si>
  <si>
    <t>Allina Health System</t>
  </si>
  <si>
    <t>Buffalo</t>
  </si>
  <si>
    <t>M Health Fairview</t>
  </si>
  <si>
    <t>Burnsville</t>
  </si>
  <si>
    <t>Dakota</t>
  </si>
  <si>
    <t>Cambridge</t>
  </si>
  <si>
    <t>Isanti</t>
  </si>
  <si>
    <t>Canby</t>
  </si>
  <si>
    <t>Yellow Medicine</t>
  </si>
  <si>
    <t>Cannon Falls</t>
  </si>
  <si>
    <t>Goodhue</t>
  </si>
  <si>
    <t>Cloquet</t>
  </si>
  <si>
    <t>Carlton</t>
  </si>
  <si>
    <t>Cook</t>
  </si>
  <si>
    <t>Coon Rapids</t>
  </si>
  <si>
    <t>Crookston</t>
  </si>
  <si>
    <t>Polk</t>
  </si>
  <si>
    <t>Crosby</t>
  </si>
  <si>
    <t>Dawson</t>
  </si>
  <si>
    <t>Lac Qui Parle</t>
  </si>
  <si>
    <t>Admission</t>
  </si>
  <si>
    <t>Qtr</t>
  </si>
  <si>
    <t>Cleaned admission</t>
  </si>
  <si>
    <t>Quarter</t>
  </si>
  <si>
    <t>Row Labels</t>
  </si>
  <si>
    <t>Grand Total</t>
  </si>
  <si>
    <t>Column Labels</t>
  </si>
  <si>
    <t>(All)</t>
  </si>
  <si>
    <t>Count of Cleaned admission</t>
  </si>
  <si>
    <t>Sum of Cleaned admission</t>
  </si>
  <si>
    <t xml:space="preserve">kpi </t>
  </si>
  <si>
    <t xml:space="preserve">Total Admission </t>
  </si>
  <si>
    <t xml:space="preserve">Total Hospital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</si>
</sst>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 ;\(&quot;$&quot;#,##0\)"/>
    <numFmt numFmtId="165" formatCode="m/d"/>
    <numFmt numFmtId="166" formatCode="_(* #,##0_);_(* \(#,##0\);_(* &quot;-&quot;??_);_(@_)"/>
  </numFmts>
  <fonts count="9" x14ac:knownFonts="1">
    <font>
      <sz val="10"/>
      <name val="Arial"/>
    </font>
    <font>
      <b/>
      <sz val="18"/>
      <name val="Arial"/>
      <family val="2"/>
    </font>
    <font>
      <b/>
      <sz val="12"/>
      <name val="Arial"/>
      <family val="2"/>
    </font>
    <font>
      <b/>
      <sz val="10"/>
      <name val="Arial"/>
      <family val="2"/>
    </font>
    <font>
      <sz val="10"/>
      <name val="Arial"/>
      <family val="2"/>
    </font>
    <font>
      <b/>
      <sz val="10"/>
      <name val="Arial"/>
      <family val="2"/>
    </font>
    <font>
      <sz val="10"/>
      <name val="Arial"/>
      <family val="2"/>
    </font>
    <font>
      <sz val="10"/>
      <color indexed="64"/>
      <name val="Arial"/>
      <family val="2"/>
    </font>
    <font>
      <sz val="10"/>
      <color indexed="64"/>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right/>
      <top style="double">
        <color indexed="0"/>
      </top>
      <bottom/>
      <diagonal/>
    </border>
  </borders>
  <cellStyleXfs count="11">
    <xf numFmtId="0" fontId="0" fillId="0" borderId="0"/>
    <xf numFmtId="4" fontId="6" fillId="0" borderId="0" applyFont="0" applyFill="0" applyBorder="0" applyAlignment="0" applyProtection="0"/>
    <xf numFmtId="3"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2" fontId="6" fillId="0" borderId="0" applyFont="0" applyFill="0" applyBorder="0" applyAlignment="0" applyProtection="0"/>
    <xf numFmtId="0" fontId="1" fillId="0" borderId="0" applyNumberFormat="0" applyFont="0" applyFill="0" applyAlignment="0" applyProtection="0"/>
    <xf numFmtId="0" fontId="2" fillId="0" borderId="0" applyNumberFormat="0" applyFont="0" applyFill="0" applyAlignment="0" applyProtection="0"/>
    <xf numFmtId="0" fontId="6" fillId="0" borderId="1" applyNumberFormat="0" applyFont="0" applyBorder="0" applyAlignment="0" applyProtection="0"/>
    <xf numFmtId="0" fontId="7" fillId="0" borderId="0"/>
    <xf numFmtId="43" fontId="8" fillId="0" borderId="0" applyFont="0" applyFill="0" applyBorder="0" applyAlignment="0" applyProtection="0"/>
  </cellStyleXfs>
  <cellXfs count="13">
    <xf numFmtId="0" fontId="0" fillId="0" borderId="0" xfId="0"/>
    <xf numFmtId="0" fontId="3" fillId="0" borderId="0" xfId="0" applyFont="1"/>
    <xf numFmtId="0" fontId="4" fillId="0" borderId="0" xfId="0" applyFont="1"/>
    <xf numFmtId="0" fontId="5" fillId="0" borderId="0" xfId="0" applyFont="1"/>
    <xf numFmtId="0" fontId="3" fillId="0" borderId="0" xfId="0" applyFont="1" applyAlignment="1">
      <alignment wrapText="1"/>
    </xf>
    <xf numFmtId="0" fontId="4" fillId="0" borderId="0" xfId="0" applyFont="1" applyAlignment="1">
      <alignment horizontal="center"/>
    </xf>
    <xf numFmtId="0" fontId="5" fillId="0" borderId="0" xfId="0" applyFont="1" applyAlignment="1">
      <alignment horizontal="center"/>
    </xf>
    <xf numFmtId="0" fontId="5" fillId="2" borderId="0" xfId="0" applyFont="1" applyFill="1" applyAlignment="1">
      <alignment horizontal="center" wrapText="1"/>
    </xf>
    <xf numFmtId="0" fontId="5" fillId="0" borderId="0" xfId="0" applyFont="1" applyAlignment="1">
      <alignment horizontal="right"/>
    </xf>
    <xf numFmtId="166" fontId="0" fillId="0" borderId="0" xfId="1" applyNumberFormat="1" applyFont="1"/>
    <xf numFmtId="0" fontId="0" fillId="0" borderId="0" xfId="0" pivotButton="1"/>
    <xf numFmtId="0" fontId="0" fillId="0" borderId="0" xfId="0" applyAlignment="1">
      <alignment horizontal="left"/>
    </xf>
    <xf numFmtId="0" fontId="0" fillId="0" borderId="0" xfId="0" applyNumberFormat="1"/>
  </cellXfs>
  <cellStyles count="11">
    <cellStyle name="Comma" xfId="1" builtinId="3"/>
    <cellStyle name="Comma 2" xfId="10" xr:uid="{00000000-0005-0000-0000-000001000000}"/>
    <cellStyle name="Comma0" xfId="2" xr:uid="{00000000-0005-0000-0000-000002000000}"/>
    <cellStyle name="Currency0" xfId="3" xr:uid="{00000000-0005-0000-0000-000003000000}"/>
    <cellStyle name="Date" xfId="4" xr:uid="{00000000-0005-0000-0000-000004000000}"/>
    <cellStyle name="Fixed" xfId="5" xr:uid="{00000000-0005-0000-0000-000005000000}"/>
    <cellStyle name="Heading 1" xfId="6" builtinId="16" customBuiltin="1"/>
    <cellStyle name="Heading 2" xfId="7" builtinId="17" customBuiltin="1"/>
    <cellStyle name="Normal" xfId="0" builtinId="0"/>
    <cellStyle name="Normal 2" xfId="9" xr:uid="{00000000-0005-0000-0000-000009000000}"/>
    <cellStyle name="Total" xfId="8" builtinId="25" customBuiltin="1"/>
  </cellStyles>
  <dxfs count="4">
    <dxf>
      <numFmt numFmtId="0" formatCode="General"/>
    </dxf>
    <dxf>
      <font>
        <b val="0"/>
        <i val="0"/>
        <strike val="0"/>
        <condense val="0"/>
        <extend val="0"/>
        <outline val="0"/>
        <shadow val="0"/>
        <u val="none"/>
        <vertAlign val="baseline"/>
        <sz val="10"/>
        <color auto="1"/>
        <name val="Arial"/>
        <scheme val="none"/>
      </font>
      <numFmt numFmtId="166" formatCode="_(* #,##0_);_(* \(#,##0\);_(* &quot;-&quot;??_);_(@_)"/>
    </dxf>
    <dxf>
      <numFmt numFmtId="0" formatCode="General"/>
    </dxf>
    <dxf>
      <font>
        <b/>
        <i val="0"/>
        <strike val="0"/>
        <condense val="0"/>
        <extend val="0"/>
        <outline val="0"/>
        <shadow val="0"/>
        <u val="none"/>
        <vertAlign val="baseline"/>
        <sz val="10"/>
        <color auto="1"/>
        <name val="Arial"/>
        <family val="2"/>
        <scheme val="none"/>
      </font>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Quarterly Admissions Trend by Affiliation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Allina Health System</c:v>
                </c:pt>
              </c:strCache>
            </c:strRef>
          </c:tx>
          <c:spPr>
            <a:ln w="28575" cap="rnd">
              <a:solidFill>
                <a:schemeClr val="accent1"/>
              </a:solidFill>
              <a:round/>
            </a:ln>
            <a:effectLst/>
          </c:spPr>
          <c:marker>
            <c:symbol val="none"/>
          </c:marker>
          <c:cat>
            <c:strRef>
              <c:f>Sheet1!$A$5:$A$9</c:f>
              <c:strCache>
                <c:ptCount val="4"/>
                <c:pt idx="0">
                  <c:v>1</c:v>
                </c:pt>
                <c:pt idx="1">
                  <c:v>2</c:v>
                </c:pt>
                <c:pt idx="2">
                  <c:v>3</c:v>
                </c:pt>
                <c:pt idx="3">
                  <c:v>4</c:v>
                </c:pt>
              </c:strCache>
            </c:strRef>
          </c:cat>
          <c:val>
            <c:numRef>
              <c:f>Sheet1!$B$5:$B$9</c:f>
              <c:numCache>
                <c:formatCode>General</c:formatCode>
                <c:ptCount val="4"/>
                <c:pt idx="2">
                  <c:v>312</c:v>
                </c:pt>
                <c:pt idx="3">
                  <c:v>625</c:v>
                </c:pt>
              </c:numCache>
            </c:numRef>
          </c:val>
          <c:smooth val="0"/>
          <c:extLst>
            <c:ext xmlns:c16="http://schemas.microsoft.com/office/drawing/2014/chart" uri="{C3380CC4-5D6E-409C-BE32-E72D297353CC}">
              <c16:uniqueId val="{00000000-DC11-49B7-8344-38A15A025F4C}"/>
            </c:ext>
          </c:extLst>
        </c:ser>
        <c:ser>
          <c:idx val="1"/>
          <c:order val="1"/>
          <c:tx>
            <c:strRef>
              <c:f>Sheet1!$C$3:$C$4</c:f>
              <c:strCache>
                <c:ptCount val="1"/>
                <c:pt idx="0">
                  <c:v>Catholic Health Initiatives</c:v>
                </c:pt>
              </c:strCache>
            </c:strRef>
          </c:tx>
          <c:spPr>
            <a:ln w="28575" cap="rnd">
              <a:solidFill>
                <a:schemeClr val="accent2"/>
              </a:solidFill>
              <a:round/>
            </a:ln>
            <a:effectLst/>
          </c:spPr>
          <c:marker>
            <c:symbol val="none"/>
          </c:marker>
          <c:cat>
            <c:strRef>
              <c:f>Sheet1!$A$5:$A$9</c:f>
              <c:strCache>
                <c:ptCount val="4"/>
                <c:pt idx="0">
                  <c:v>1</c:v>
                </c:pt>
                <c:pt idx="1">
                  <c:v>2</c:v>
                </c:pt>
                <c:pt idx="2">
                  <c:v>3</c:v>
                </c:pt>
                <c:pt idx="3">
                  <c:v>4</c:v>
                </c:pt>
              </c:strCache>
            </c:strRef>
          </c:cat>
          <c:val>
            <c:numRef>
              <c:f>Sheet1!$C$5:$C$9</c:f>
              <c:numCache>
                <c:formatCode>General</c:formatCode>
                <c:ptCount val="4"/>
                <c:pt idx="2">
                  <c:v>92</c:v>
                </c:pt>
              </c:numCache>
            </c:numRef>
          </c:val>
          <c:smooth val="0"/>
          <c:extLst>
            <c:ext xmlns:c16="http://schemas.microsoft.com/office/drawing/2014/chart" uri="{C3380CC4-5D6E-409C-BE32-E72D297353CC}">
              <c16:uniqueId val="{00000001-DC11-49B7-8344-38A15A025F4C}"/>
            </c:ext>
          </c:extLst>
        </c:ser>
        <c:ser>
          <c:idx val="2"/>
          <c:order val="2"/>
          <c:tx>
            <c:strRef>
              <c:f>Sheet1!$D$3:$D$4</c:f>
              <c:strCache>
                <c:ptCount val="1"/>
                <c:pt idx="0">
                  <c:v>CentraCare Health System</c:v>
                </c:pt>
              </c:strCache>
            </c:strRef>
          </c:tx>
          <c:spPr>
            <a:ln w="28575" cap="rnd">
              <a:solidFill>
                <a:schemeClr val="accent3"/>
              </a:solidFill>
              <a:round/>
            </a:ln>
            <a:effectLst/>
          </c:spPr>
          <c:marker>
            <c:symbol val="none"/>
          </c:marker>
          <c:cat>
            <c:strRef>
              <c:f>Sheet1!$A$5:$A$9</c:f>
              <c:strCache>
                <c:ptCount val="4"/>
                <c:pt idx="0">
                  <c:v>1</c:v>
                </c:pt>
                <c:pt idx="1">
                  <c:v>2</c:v>
                </c:pt>
                <c:pt idx="2">
                  <c:v>3</c:v>
                </c:pt>
                <c:pt idx="3">
                  <c:v>4</c:v>
                </c:pt>
              </c:strCache>
            </c:strRef>
          </c:cat>
          <c:val>
            <c:numRef>
              <c:f>Sheet1!$D$5:$D$9</c:f>
              <c:numCache>
                <c:formatCode>General</c:formatCode>
                <c:ptCount val="4"/>
                <c:pt idx="1">
                  <c:v>162</c:v>
                </c:pt>
              </c:numCache>
            </c:numRef>
          </c:val>
          <c:smooth val="0"/>
          <c:extLst>
            <c:ext xmlns:c16="http://schemas.microsoft.com/office/drawing/2014/chart" uri="{C3380CC4-5D6E-409C-BE32-E72D297353CC}">
              <c16:uniqueId val="{00000002-DC11-49B7-8344-38A15A025F4C}"/>
            </c:ext>
          </c:extLst>
        </c:ser>
        <c:ser>
          <c:idx val="3"/>
          <c:order val="3"/>
          <c:tx>
            <c:strRef>
              <c:f>Sheet1!$E$3:$E$4</c:f>
              <c:strCache>
                <c:ptCount val="1"/>
                <c:pt idx="0">
                  <c:v>Dept of Human Services, State of MN</c:v>
                </c:pt>
              </c:strCache>
            </c:strRef>
          </c:tx>
          <c:spPr>
            <a:ln w="28575" cap="rnd">
              <a:solidFill>
                <a:schemeClr val="accent4"/>
              </a:solidFill>
              <a:round/>
            </a:ln>
            <a:effectLst/>
          </c:spPr>
          <c:marker>
            <c:symbol val="none"/>
          </c:marker>
          <c:cat>
            <c:strRef>
              <c:f>Sheet1!$A$5:$A$9</c:f>
              <c:strCache>
                <c:ptCount val="4"/>
                <c:pt idx="0">
                  <c:v>1</c:v>
                </c:pt>
                <c:pt idx="1">
                  <c:v>2</c:v>
                </c:pt>
                <c:pt idx="2">
                  <c:v>3</c:v>
                </c:pt>
                <c:pt idx="3">
                  <c:v>4</c:v>
                </c:pt>
              </c:strCache>
            </c:strRef>
          </c:cat>
          <c:val>
            <c:numRef>
              <c:f>Sheet1!$E$5:$E$9</c:f>
              <c:numCache>
                <c:formatCode>General</c:formatCode>
                <c:ptCount val="4"/>
                <c:pt idx="0">
                  <c:v>1237</c:v>
                </c:pt>
                <c:pt idx="1">
                  <c:v>193</c:v>
                </c:pt>
              </c:numCache>
            </c:numRef>
          </c:val>
          <c:smooth val="0"/>
          <c:extLst>
            <c:ext xmlns:c16="http://schemas.microsoft.com/office/drawing/2014/chart" uri="{C3380CC4-5D6E-409C-BE32-E72D297353CC}">
              <c16:uniqueId val="{00000003-DC11-49B7-8344-38A15A025F4C}"/>
            </c:ext>
          </c:extLst>
        </c:ser>
        <c:ser>
          <c:idx val="4"/>
          <c:order val="4"/>
          <c:tx>
            <c:strRef>
              <c:f>Sheet1!$F$3:$F$4</c:f>
              <c:strCache>
                <c:ptCount val="1"/>
                <c:pt idx="0">
                  <c:v>Essentia Health</c:v>
                </c:pt>
              </c:strCache>
            </c:strRef>
          </c:tx>
          <c:spPr>
            <a:ln w="28575" cap="rnd">
              <a:solidFill>
                <a:schemeClr val="accent5"/>
              </a:solidFill>
              <a:round/>
            </a:ln>
            <a:effectLst/>
          </c:spPr>
          <c:marker>
            <c:symbol val="none"/>
          </c:marker>
          <c:cat>
            <c:strRef>
              <c:f>Sheet1!$A$5:$A$9</c:f>
              <c:strCache>
                <c:ptCount val="4"/>
                <c:pt idx="0">
                  <c:v>1</c:v>
                </c:pt>
                <c:pt idx="1">
                  <c:v>2</c:v>
                </c:pt>
                <c:pt idx="2">
                  <c:v>3</c:v>
                </c:pt>
                <c:pt idx="3">
                  <c:v>4</c:v>
                </c:pt>
              </c:strCache>
            </c:strRef>
          </c:cat>
          <c:val>
            <c:numRef>
              <c:f>Sheet1!$F$5:$F$9</c:f>
              <c:numCache>
                <c:formatCode>General</c:formatCode>
                <c:ptCount val="4"/>
                <c:pt idx="0">
                  <c:v>59</c:v>
                </c:pt>
                <c:pt idx="1">
                  <c:v>366</c:v>
                </c:pt>
                <c:pt idx="2">
                  <c:v>288</c:v>
                </c:pt>
              </c:numCache>
            </c:numRef>
          </c:val>
          <c:smooth val="0"/>
          <c:extLst>
            <c:ext xmlns:c16="http://schemas.microsoft.com/office/drawing/2014/chart" uri="{C3380CC4-5D6E-409C-BE32-E72D297353CC}">
              <c16:uniqueId val="{00000004-DC11-49B7-8344-38A15A025F4C}"/>
            </c:ext>
          </c:extLst>
        </c:ser>
        <c:ser>
          <c:idx val="5"/>
          <c:order val="5"/>
          <c:tx>
            <c:strRef>
              <c:f>Sheet1!$G$3:$G$4</c:f>
              <c:strCache>
                <c:ptCount val="1"/>
                <c:pt idx="0">
                  <c:v>M Health Fairview</c:v>
                </c:pt>
              </c:strCache>
            </c:strRef>
          </c:tx>
          <c:spPr>
            <a:ln w="28575" cap="rnd">
              <a:solidFill>
                <a:schemeClr val="accent6"/>
              </a:solidFill>
              <a:round/>
            </a:ln>
            <a:effectLst/>
          </c:spPr>
          <c:marker>
            <c:symbol val="none"/>
          </c:marker>
          <c:cat>
            <c:strRef>
              <c:f>Sheet1!$A$5:$A$9</c:f>
              <c:strCache>
                <c:ptCount val="4"/>
                <c:pt idx="0">
                  <c:v>1</c:v>
                </c:pt>
                <c:pt idx="1">
                  <c:v>2</c:v>
                </c:pt>
                <c:pt idx="2">
                  <c:v>3</c:v>
                </c:pt>
                <c:pt idx="3">
                  <c:v>4</c:v>
                </c:pt>
              </c:strCache>
            </c:strRef>
          </c:cat>
          <c:val>
            <c:numRef>
              <c:f>Sheet1!$G$5:$G$9</c:f>
              <c:numCache>
                <c:formatCode>General</c:formatCode>
                <c:ptCount val="4"/>
                <c:pt idx="2">
                  <c:v>350</c:v>
                </c:pt>
              </c:numCache>
            </c:numRef>
          </c:val>
          <c:smooth val="0"/>
          <c:extLst>
            <c:ext xmlns:c16="http://schemas.microsoft.com/office/drawing/2014/chart" uri="{C3380CC4-5D6E-409C-BE32-E72D297353CC}">
              <c16:uniqueId val="{00000005-DC11-49B7-8344-38A15A025F4C}"/>
            </c:ext>
          </c:extLst>
        </c:ser>
        <c:ser>
          <c:idx val="6"/>
          <c:order val="6"/>
          <c:tx>
            <c:strRef>
              <c:f>Sheet1!$H$3:$H$4</c:f>
              <c:strCache>
                <c:ptCount val="1"/>
                <c:pt idx="0">
                  <c:v>Mayo Clinic</c:v>
                </c:pt>
              </c:strCache>
            </c:strRef>
          </c:tx>
          <c:spPr>
            <a:ln w="28575" cap="rnd">
              <a:solidFill>
                <a:schemeClr val="accent1">
                  <a:lumMod val="60000"/>
                </a:schemeClr>
              </a:solidFill>
              <a:round/>
            </a:ln>
            <a:effectLst/>
          </c:spPr>
          <c:marker>
            <c:symbol val="none"/>
          </c:marker>
          <c:cat>
            <c:strRef>
              <c:f>Sheet1!$A$5:$A$9</c:f>
              <c:strCache>
                <c:ptCount val="4"/>
                <c:pt idx="0">
                  <c:v>1</c:v>
                </c:pt>
                <c:pt idx="1">
                  <c:v>2</c:v>
                </c:pt>
                <c:pt idx="2">
                  <c:v>3</c:v>
                </c:pt>
                <c:pt idx="3">
                  <c:v>4</c:v>
                </c:pt>
              </c:strCache>
            </c:strRef>
          </c:cat>
          <c:val>
            <c:numRef>
              <c:f>Sheet1!$H$5:$H$9</c:f>
              <c:numCache>
                <c:formatCode>General</c:formatCode>
                <c:ptCount val="4"/>
                <c:pt idx="0">
                  <c:v>342</c:v>
                </c:pt>
                <c:pt idx="3">
                  <c:v>64</c:v>
                </c:pt>
              </c:numCache>
            </c:numRef>
          </c:val>
          <c:smooth val="0"/>
          <c:extLst>
            <c:ext xmlns:c16="http://schemas.microsoft.com/office/drawing/2014/chart" uri="{C3380CC4-5D6E-409C-BE32-E72D297353CC}">
              <c16:uniqueId val="{00000006-DC11-49B7-8344-38A15A025F4C}"/>
            </c:ext>
          </c:extLst>
        </c:ser>
        <c:ser>
          <c:idx val="7"/>
          <c:order val="7"/>
          <c:tx>
            <c:strRef>
              <c:f>Sheet1!$I$3:$I$4</c:f>
              <c:strCache>
                <c:ptCount val="1"/>
                <c:pt idx="0">
                  <c:v>No Affiliation</c:v>
                </c:pt>
              </c:strCache>
            </c:strRef>
          </c:tx>
          <c:spPr>
            <a:ln w="28575" cap="rnd">
              <a:solidFill>
                <a:schemeClr val="accent2">
                  <a:lumMod val="60000"/>
                </a:schemeClr>
              </a:solidFill>
              <a:round/>
            </a:ln>
            <a:effectLst/>
          </c:spPr>
          <c:marker>
            <c:symbol val="none"/>
          </c:marker>
          <c:cat>
            <c:strRef>
              <c:f>Sheet1!$A$5:$A$9</c:f>
              <c:strCache>
                <c:ptCount val="4"/>
                <c:pt idx="0">
                  <c:v>1</c:v>
                </c:pt>
                <c:pt idx="1">
                  <c:v>2</c:v>
                </c:pt>
                <c:pt idx="2">
                  <c:v>3</c:v>
                </c:pt>
                <c:pt idx="3">
                  <c:v>4</c:v>
                </c:pt>
              </c:strCache>
            </c:strRef>
          </c:cat>
          <c:val>
            <c:numRef>
              <c:f>Sheet1!$I$5:$I$9</c:f>
              <c:numCache>
                <c:formatCode>General</c:formatCode>
                <c:ptCount val="4"/>
                <c:pt idx="0">
                  <c:v>967</c:v>
                </c:pt>
                <c:pt idx="1">
                  <c:v>1809</c:v>
                </c:pt>
                <c:pt idx="2">
                  <c:v>324</c:v>
                </c:pt>
                <c:pt idx="3">
                  <c:v>487</c:v>
                </c:pt>
              </c:numCache>
            </c:numRef>
          </c:val>
          <c:smooth val="0"/>
          <c:extLst>
            <c:ext xmlns:c16="http://schemas.microsoft.com/office/drawing/2014/chart" uri="{C3380CC4-5D6E-409C-BE32-E72D297353CC}">
              <c16:uniqueId val="{00000007-DC11-49B7-8344-38A15A025F4C}"/>
            </c:ext>
          </c:extLst>
        </c:ser>
        <c:ser>
          <c:idx val="8"/>
          <c:order val="8"/>
          <c:tx>
            <c:strRef>
              <c:f>Sheet1!$J$3:$J$4</c:f>
              <c:strCache>
                <c:ptCount val="1"/>
                <c:pt idx="0">
                  <c:v>Ridgeview Medical Center</c:v>
                </c:pt>
              </c:strCache>
            </c:strRef>
          </c:tx>
          <c:spPr>
            <a:ln w="28575" cap="rnd">
              <a:solidFill>
                <a:schemeClr val="accent3">
                  <a:lumMod val="60000"/>
                </a:schemeClr>
              </a:solidFill>
              <a:round/>
            </a:ln>
            <a:effectLst/>
          </c:spPr>
          <c:marker>
            <c:symbol val="none"/>
          </c:marker>
          <c:cat>
            <c:strRef>
              <c:f>Sheet1!$A$5:$A$9</c:f>
              <c:strCache>
                <c:ptCount val="4"/>
                <c:pt idx="0">
                  <c:v>1</c:v>
                </c:pt>
                <c:pt idx="1">
                  <c:v>2</c:v>
                </c:pt>
                <c:pt idx="2">
                  <c:v>3</c:v>
                </c:pt>
                <c:pt idx="3">
                  <c:v>4</c:v>
                </c:pt>
              </c:strCache>
            </c:strRef>
          </c:cat>
          <c:val>
            <c:numRef>
              <c:f>Sheet1!$J$5:$J$9</c:f>
              <c:numCache>
                <c:formatCode>General</c:formatCode>
                <c:ptCount val="4"/>
                <c:pt idx="1">
                  <c:v>1049</c:v>
                </c:pt>
              </c:numCache>
            </c:numRef>
          </c:val>
          <c:smooth val="0"/>
          <c:extLst>
            <c:ext xmlns:c16="http://schemas.microsoft.com/office/drawing/2014/chart" uri="{C3380CC4-5D6E-409C-BE32-E72D297353CC}">
              <c16:uniqueId val="{00000008-DC11-49B7-8344-38A15A025F4C}"/>
            </c:ext>
          </c:extLst>
        </c:ser>
        <c:ser>
          <c:idx val="9"/>
          <c:order val="9"/>
          <c:tx>
            <c:strRef>
              <c:f>Sheet1!$K$3:$K$4</c:f>
              <c:strCache>
                <c:ptCount val="1"/>
                <c:pt idx="0">
                  <c:v>Sanford Health</c:v>
                </c:pt>
              </c:strCache>
            </c:strRef>
          </c:tx>
          <c:spPr>
            <a:ln w="28575" cap="rnd">
              <a:solidFill>
                <a:schemeClr val="accent4">
                  <a:lumMod val="60000"/>
                </a:schemeClr>
              </a:solidFill>
              <a:round/>
            </a:ln>
            <a:effectLst/>
          </c:spPr>
          <c:marker>
            <c:symbol val="none"/>
          </c:marker>
          <c:cat>
            <c:strRef>
              <c:f>Sheet1!$A$5:$A$9</c:f>
              <c:strCache>
                <c:ptCount val="4"/>
                <c:pt idx="0">
                  <c:v>1</c:v>
                </c:pt>
                <c:pt idx="1">
                  <c:v>2</c:v>
                </c:pt>
                <c:pt idx="2">
                  <c:v>3</c:v>
                </c:pt>
                <c:pt idx="3">
                  <c:v>4</c:v>
                </c:pt>
              </c:strCache>
            </c:strRef>
          </c:cat>
          <c:val>
            <c:numRef>
              <c:f>Sheet1!$K$5:$K$9</c:f>
              <c:numCache>
                <c:formatCode>General</c:formatCode>
                <c:ptCount val="4"/>
                <c:pt idx="1">
                  <c:v>1112</c:v>
                </c:pt>
                <c:pt idx="3">
                  <c:v>100</c:v>
                </c:pt>
              </c:numCache>
            </c:numRef>
          </c:val>
          <c:smooth val="0"/>
          <c:extLst>
            <c:ext xmlns:c16="http://schemas.microsoft.com/office/drawing/2014/chart" uri="{C3380CC4-5D6E-409C-BE32-E72D297353CC}">
              <c16:uniqueId val="{00000009-DC11-49B7-8344-38A15A025F4C}"/>
            </c:ext>
          </c:extLst>
        </c:ser>
        <c:dLbls>
          <c:showLegendKey val="0"/>
          <c:showVal val="0"/>
          <c:showCatName val="0"/>
          <c:showSerName val="0"/>
          <c:showPercent val="0"/>
          <c:showBubbleSize val="0"/>
        </c:dLbls>
        <c:smooth val="0"/>
        <c:axId val="427476960"/>
        <c:axId val="427460640"/>
      </c:lineChart>
      <c:catAx>
        <c:axId val="427476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60640"/>
        <c:crosses val="autoZero"/>
        <c:auto val="1"/>
        <c:lblAlgn val="ctr"/>
        <c:lblOffset val="100"/>
        <c:noMultiLvlLbl val="0"/>
      </c:catAx>
      <c:valAx>
        <c:axId val="42746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admission</a:t>
                </a:r>
                <a:r>
                  <a:rPr lang="en-US" baseline="0"/>
                  <a:t> number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7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Admissions by County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50000"/>
            </a:schemeClr>
          </a:solidFill>
          <a:ln>
            <a:noFill/>
          </a:ln>
          <a:effectLst/>
        </c:spPr>
      </c:pivotFmt>
      <c:pivotFmt>
        <c:idx val="5"/>
        <c:spPr>
          <a:solidFill>
            <a:schemeClr val="accent4">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6">
              <a:lumMod val="75000"/>
            </a:schemeClr>
          </a:solidFill>
          <a:ln>
            <a:noFill/>
          </a:ln>
          <a:effectLst/>
        </c:spPr>
      </c:pivotFmt>
      <c:pivotFmt>
        <c:idx val="8"/>
        <c:spPr>
          <a:solidFill>
            <a:srgbClr val="FFC000"/>
          </a:solidFill>
          <a:ln>
            <a:noFill/>
          </a:ln>
          <a:effectLst/>
        </c:spPr>
      </c:pivotFmt>
      <c:pivotFmt>
        <c:idx val="9"/>
        <c:spPr>
          <a:solidFill>
            <a:schemeClr val="bg2">
              <a:lumMod val="10000"/>
            </a:schemeClr>
          </a:solidFill>
          <a:ln>
            <a:noFill/>
          </a:ln>
          <a:effectLst/>
        </c:spPr>
      </c:pivotFmt>
      <c:pivotFmt>
        <c:idx val="10"/>
        <c:spPr>
          <a:solidFill>
            <a:schemeClr val="bg1">
              <a:lumMod val="85000"/>
            </a:schemeClr>
          </a:solidFill>
          <a:ln>
            <a:noFill/>
          </a:ln>
          <a:effectLst/>
        </c:spPr>
      </c:pivotFmt>
      <c:pivotFmt>
        <c:idx val="11"/>
        <c:spPr>
          <a:solidFill>
            <a:srgbClr val="C00000"/>
          </a:solidFill>
          <a:ln>
            <a:noFill/>
          </a:ln>
          <a:effectLst/>
        </c:spPr>
      </c:pivotFmt>
      <c:pivotFmt>
        <c:idx val="12"/>
        <c:spPr>
          <a:solidFill>
            <a:srgbClr val="00B050"/>
          </a:solidFill>
          <a:ln>
            <a:noFill/>
          </a:ln>
          <a:effectLst/>
        </c:spPr>
      </c:pivotFmt>
      <c:pivotFmt>
        <c:idx val="13"/>
        <c:spPr>
          <a:solidFill>
            <a:schemeClr val="accent3">
              <a:lumMod val="40000"/>
              <a:lumOff val="60000"/>
            </a:schemeClr>
          </a:solidFill>
          <a:ln>
            <a:noFill/>
          </a:ln>
          <a:effectLst/>
        </c:spPr>
      </c:pivotFmt>
      <c:pivotFmt>
        <c:idx val="14"/>
        <c:spPr>
          <a:solidFill>
            <a:schemeClr val="bg1">
              <a:lumMod val="50000"/>
            </a:schemeClr>
          </a:solidFill>
          <a:ln>
            <a:noFill/>
          </a:ln>
          <a:effectLst/>
        </c:spPr>
      </c:pivotFmt>
      <c:pivotFmt>
        <c:idx val="15"/>
        <c:spPr>
          <a:solidFill>
            <a:schemeClr val="tx2">
              <a:lumMod val="50000"/>
            </a:schemeClr>
          </a:solidFill>
          <a:ln>
            <a:noFill/>
          </a:ln>
          <a:effectLst/>
        </c:spPr>
      </c:pivotFmt>
      <c:pivotFmt>
        <c:idx val="16"/>
        <c:spPr>
          <a:solidFill>
            <a:schemeClr val="accent4">
              <a:lumMod val="60000"/>
              <a:lumOff val="40000"/>
            </a:schemeClr>
          </a:solidFill>
          <a:ln>
            <a:noFill/>
          </a:ln>
          <a:effectLst/>
        </c:spPr>
      </c:pivotFmt>
      <c:pivotFmt>
        <c:idx val="17"/>
        <c:spPr>
          <a:solidFill>
            <a:schemeClr val="accent5"/>
          </a:solidFill>
          <a:ln>
            <a:noFill/>
          </a:ln>
          <a:effectLst/>
        </c:spPr>
      </c:pivotFmt>
      <c:pivotFmt>
        <c:idx val="18"/>
        <c:spPr>
          <a:solidFill>
            <a:schemeClr val="accent6"/>
          </a:solidFill>
          <a:ln>
            <a:noFill/>
          </a:ln>
          <a:effectLst/>
        </c:spPr>
      </c:pivotFmt>
      <c:pivotFmt>
        <c:idx val="19"/>
        <c:spPr>
          <a:solidFill>
            <a:schemeClr val="accent5">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rgbClr val="00B0F0"/>
          </a:solidFill>
          <a:ln>
            <a:noFill/>
          </a:ln>
          <a:effectLst/>
        </c:spP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2-00BF-424C-A03A-F066C0C3E8E5}"/>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00BF-424C-A03A-F066C0C3E8E5}"/>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00BF-424C-A03A-F066C0C3E8E5}"/>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5-00BF-424C-A03A-F066C0C3E8E5}"/>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6-00BF-424C-A03A-F066C0C3E8E5}"/>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7-00BF-424C-A03A-F066C0C3E8E5}"/>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8-00BF-424C-A03A-F066C0C3E8E5}"/>
              </c:ext>
            </c:extLst>
          </c:dPt>
          <c:dPt>
            <c:idx val="7"/>
            <c:invertIfNegative val="0"/>
            <c:bubble3D val="0"/>
            <c:spPr>
              <a:solidFill>
                <a:srgbClr val="FFC000"/>
              </a:solidFill>
              <a:ln>
                <a:noFill/>
              </a:ln>
              <a:effectLst/>
            </c:spPr>
            <c:extLst>
              <c:ext xmlns:c16="http://schemas.microsoft.com/office/drawing/2014/chart" uri="{C3380CC4-5D6E-409C-BE32-E72D297353CC}">
                <c16:uniqueId val="{00000009-00BF-424C-A03A-F066C0C3E8E5}"/>
              </c:ext>
            </c:extLst>
          </c:dPt>
          <c:dPt>
            <c:idx val="9"/>
            <c:invertIfNegative val="0"/>
            <c:bubble3D val="0"/>
            <c:spPr>
              <a:solidFill>
                <a:schemeClr val="bg2">
                  <a:lumMod val="10000"/>
                </a:schemeClr>
              </a:solidFill>
              <a:ln>
                <a:noFill/>
              </a:ln>
              <a:effectLst/>
            </c:spPr>
            <c:extLst>
              <c:ext xmlns:c16="http://schemas.microsoft.com/office/drawing/2014/chart" uri="{C3380CC4-5D6E-409C-BE32-E72D297353CC}">
                <c16:uniqueId val="{0000000A-00BF-424C-A03A-F066C0C3E8E5}"/>
              </c:ext>
            </c:extLst>
          </c:dPt>
          <c:dPt>
            <c:idx val="10"/>
            <c:invertIfNegative val="0"/>
            <c:bubble3D val="0"/>
            <c:spPr>
              <a:solidFill>
                <a:schemeClr val="bg1">
                  <a:lumMod val="85000"/>
                </a:schemeClr>
              </a:solidFill>
              <a:ln>
                <a:noFill/>
              </a:ln>
              <a:effectLst/>
            </c:spPr>
            <c:extLst>
              <c:ext xmlns:c16="http://schemas.microsoft.com/office/drawing/2014/chart" uri="{C3380CC4-5D6E-409C-BE32-E72D297353CC}">
                <c16:uniqueId val="{0000000B-00BF-424C-A03A-F066C0C3E8E5}"/>
              </c:ext>
            </c:extLst>
          </c:dPt>
          <c:dPt>
            <c:idx val="11"/>
            <c:invertIfNegative val="0"/>
            <c:bubble3D val="0"/>
            <c:spPr>
              <a:solidFill>
                <a:srgbClr val="C00000"/>
              </a:solidFill>
              <a:ln>
                <a:noFill/>
              </a:ln>
              <a:effectLst/>
            </c:spPr>
            <c:extLst>
              <c:ext xmlns:c16="http://schemas.microsoft.com/office/drawing/2014/chart" uri="{C3380CC4-5D6E-409C-BE32-E72D297353CC}">
                <c16:uniqueId val="{0000000C-00BF-424C-A03A-F066C0C3E8E5}"/>
              </c:ext>
            </c:extLst>
          </c:dPt>
          <c:dPt>
            <c:idx val="12"/>
            <c:invertIfNegative val="0"/>
            <c:bubble3D val="0"/>
            <c:spPr>
              <a:solidFill>
                <a:srgbClr val="00B050"/>
              </a:solidFill>
              <a:ln>
                <a:noFill/>
              </a:ln>
              <a:effectLst/>
            </c:spPr>
            <c:extLst>
              <c:ext xmlns:c16="http://schemas.microsoft.com/office/drawing/2014/chart" uri="{C3380CC4-5D6E-409C-BE32-E72D297353CC}">
                <c16:uniqueId val="{0000000D-00BF-424C-A03A-F066C0C3E8E5}"/>
              </c:ext>
            </c:extLst>
          </c:dPt>
          <c:dPt>
            <c:idx val="1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E-00BF-424C-A03A-F066C0C3E8E5}"/>
              </c:ext>
            </c:extLst>
          </c:dPt>
          <c:dPt>
            <c:idx val="14"/>
            <c:invertIfNegative val="0"/>
            <c:bubble3D val="0"/>
            <c:spPr>
              <a:solidFill>
                <a:schemeClr val="bg1">
                  <a:lumMod val="50000"/>
                </a:schemeClr>
              </a:solidFill>
              <a:ln>
                <a:noFill/>
              </a:ln>
              <a:effectLst/>
            </c:spPr>
            <c:extLst>
              <c:ext xmlns:c16="http://schemas.microsoft.com/office/drawing/2014/chart" uri="{C3380CC4-5D6E-409C-BE32-E72D297353CC}">
                <c16:uniqueId val="{0000000F-00BF-424C-A03A-F066C0C3E8E5}"/>
              </c:ext>
            </c:extLst>
          </c:dPt>
          <c:dPt>
            <c:idx val="15"/>
            <c:invertIfNegative val="0"/>
            <c:bubble3D val="0"/>
            <c:spPr>
              <a:solidFill>
                <a:schemeClr val="tx2">
                  <a:lumMod val="50000"/>
                </a:schemeClr>
              </a:solidFill>
              <a:ln>
                <a:noFill/>
              </a:ln>
              <a:effectLst/>
            </c:spPr>
            <c:extLst>
              <c:ext xmlns:c16="http://schemas.microsoft.com/office/drawing/2014/chart" uri="{C3380CC4-5D6E-409C-BE32-E72D297353CC}">
                <c16:uniqueId val="{00000010-00BF-424C-A03A-F066C0C3E8E5}"/>
              </c:ext>
            </c:extLst>
          </c:dPt>
          <c:dPt>
            <c:idx val="1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1-00BF-424C-A03A-F066C0C3E8E5}"/>
              </c:ext>
            </c:extLst>
          </c:dPt>
          <c:dPt>
            <c:idx val="17"/>
            <c:invertIfNegative val="0"/>
            <c:bubble3D val="0"/>
            <c:spPr>
              <a:solidFill>
                <a:schemeClr val="accent5"/>
              </a:solidFill>
              <a:ln>
                <a:noFill/>
              </a:ln>
              <a:effectLst/>
            </c:spPr>
            <c:extLst>
              <c:ext xmlns:c16="http://schemas.microsoft.com/office/drawing/2014/chart" uri="{C3380CC4-5D6E-409C-BE32-E72D297353CC}">
                <c16:uniqueId val="{00000012-00BF-424C-A03A-F066C0C3E8E5}"/>
              </c:ext>
            </c:extLst>
          </c:dPt>
          <c:dPt>
            <c:idx val="18"/>
            <c:invertIfNegative val="0"/>
            <c:bubble3D val="0"/>
            <c:spPr>
              <a:solidFill>
                <a:srgbClr val="00B0F0"/>
              </a:solidFill>
              <a:ln>
                <a:noFill/>
              </a:ln>
              <a:effectLst/>
            </c:spPr>
            <c:extLst>
              <c:ext xmlns:c16="http://schemas.microsoft.com/office/drawing/2014/chart" uri="{C3380CC4-5D6E-409C-BE32-E72D297353CC}">
                <c16:uniqueId val="{00000013-00BF-424C-A03A-F066C0C3E8E5}"/>
              </c:ext>
            </c:extLst>
          </c:dPt>
          <c:dPt>
            <c:idx val="19"/>
            <c:invertIfNegative val="0"/>
            <c:bubble3D val="0"/>
            <c:spPr>
              <a:solidFill>
                <a:schemeClr val="accent5">
                  <a:lumMod val="75000"/>
                </a:schemeClr>
              </a:solidFill>
              <a:ln>
                <a:noFill/>
              </a:ln>
              <a:effectLst/>
            </c:spPr>
            <c:extLst>
              <c:ext xmlns:c16="http://schemas.microsoft.com/office/drawing/2014/chart" uri="{C3380CC4-5D6E-409C-BE32-E72D297353CC}">
                <c16:uniqueId val="{00000014-00BF-424C-A03A-F066C0C3E8E5}"/>
              </c:ext>
            </c:extLst>
          </c:dPt>
          <c:dPt>
            <c:idx val="20"/>
            <c:invertIfNegative val="0"/>
            <c:bubble3D val="0"/>
            <c:spPr>
              <a:solidFill>
                <a:schemeClr val="accent6">
                  <a:lumMod val="75000"/>
                </a:schemeClr>
              </a:solidFill>
              <a:ln>
                <a:noFill/>
              </a:ln>
              <a:effectLst/>
            </c:spPr>
            <c:extLst>
              <c:ext xmlns:c16="http://schemas.microsoft.com/office/drawing/2014/chart" uri="{C3380CC4-5D6E-409C-BE32-E72D297353CC}">
                <c16:uniqueId val="{00000015-00BF-424C-A03A-F066C0C3E8E5}"/>
              </c:ext>
            </c:extLst>
          </c:dPt>
          <c:dPt>
            <c:idx val="2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6-00BF-424C-A03A-F066C0C3E8E5}"/>
              </c:ext>
            </c:extLst>
          </c:dPt>
          <c:dPt>
            <c:idx val="22"/>
            <c:invertIfNegative val="0"/>
            <c:bubble3D val="0"/>
            <c:spPr>
              <a:solidFill>
                <a:schemeClr val="accent6"/>
              </a:solidFill>
              <a:ln>
                <a:noFill/>
              </a:ln>
              <a:effectLst/>
            </c:spPr>
            <c:extLst>
              <c:ext xmlns:c16="http://schemas.microsoft.com/office/drawing/2014/chart" uri="{C3380CC4-5D6E-409C-BE32-E72D297353CC}">
                <c16:uniqueId val="{00000017-00BF-424C-A03A-F066C0C3E8E5}"/>
              </c:ext>
            </c:extLst>
          </c:dPt>
          <c:dPt>
            <c:idx val="2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18-00BF-424C-A03A-F066C0C3E8E5}"/>
              </c:ext>
            </c:extLst>
          </c:dPt>
          <c:cat>
            <c:strRef>
              <c:f>Sheet2!$A$4:$A$28</c:f>
              <c:strCache>
                <c:ptCount val="24"/>
                <c:pt idx="0">
                  <c:v>Crow Wing</c:v>
                </c:pt>
                <c:pt idx="1">
                  <c:v>St. Louis</c:v>
                </c:pt>
                <c:pt idx="2">
                  <c:v>Douglas</c:v>
                </c:pt>
                <c:pt idx="3">
                  <c:v>Anoka</c:v>
                </c:pt>
                <c:pt idx="4">
                  <c:v>Swift</c:v>
                </c:pt>
                <c:pt idx="5">
                  <c:v>Beltrami</c:v>
                </c:pt>
                <c:pt idx="6">
                  <c:v>Wright</c:v>
                </c:pt>
                <c:pt idx="7">
                  <c:v>Lac Qui Parle</c:v>
                </c:pt>
                <c:pt idx="8">
                  <c:v>Sibley</c:v>
                </c:pt>
                <c:pt idx="9">
                  <c:v>Norman</c:v>
                </c:pt>
                <c:pt idx="10">
                  <c:v>Faribault</c:v>
                </c:pt>
                <c:pt idx="11">
                  <c:v>Dakota</c:v>
                </c:pt>
                <c:pt idx="12">
                  <c:v>Freeborn</c:v>
                </c:pt>
                <c:pt idx="13">
                  <c:v>Lake Of The Woods</c:v>
                </c:pt>
                <c:pt idx="14">
                  <c:v>Wilkin</c:v>
                </c:pt>
                <c:pt idx="15">
                  <c:v>Polk</c:v>
                </c:pt>
                <c:pt idx="16">
                  <c:v>Yellow Medicine</c:v>
                </c:pt>
                <c:pt idx="17">
                  <c:v>Carlton</c:v>
                </c:pt>
                <c:pt idx="18">
                  <c:v>Isanti</c:v>
                </c:pt>
                <c:pt idx="19">
                  <c:v>Clearwater</c:v>
                </c:pt>
                <c:pt idx="20">
                  <c:v>Itasca</c:v>
                </c:pt>
                <c:pt idx="21">
                  <c:v>Goodhue</c:v>
                </c:pt>
                <c:pt idx="22">
                  <c:v>Aitkin</c:v>
                </c:pt>
                <c:pt idx="23">
                  <c:v>Hennepin</c:v>
                </c:pt>
              </c:strCache>
            </c:strRef>
          </c:cat>
          <c:val>
            <c:numRef>
              <c:f>Sheet2!$B$4:$B$28</c:f>
              <c:numCache>
                <c:formatCode>General</c:formatCode>
                <c:ptCount val="24"/>
                <c:pt idx="0">
                  <c:v>9</c:v>
                </c:pt>
                <c:pt idx="1">
                  <c:v>6</c:v>
                </c:pt>
                <c:pt idx="2">
                  <c:v>6</c:v>
                </c:pt>
                <c:pt idx="3">
                  <c:v>6</c:v>
                </c:pt>
                <c:pt idx="4">
                  <c:v>6</c:v>
                </c:pt>
                <c:pt idx="5">
                  <c:v>6</c:v>
                </c:pt>
                <c:pt idx="6">
                  <c:v>6</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00-00BF-424C-A03A-F066C0C3E8E5}"/>
            </c:ext>
          </c:extLst>
        </c:ser>
        <c:dLbls>
          <c:showLegendKey val="0"/>
          <c:showVal val="0"/>
          <c:showCatName val="0"/>
          <c:showSerName val="0"/>
          <c:showPercent val="0"/>
          <c:showBubbleSize val="0"/>
        </c:dLbls>
        <c:gapWidth val="219"/>
        <c:overlap val="-27"/>
        <c:axId val="636018736"/>
        <c:axId val="636019216"/>
      </c:barChart>
      <c:catAx>
        <c:axId val="636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19216"/>
        <c:crosses val="autoZero"/>
        <c:auto val="1"/>
        <c:lblAlgn val="ctr"/>
        <c:lblOffset val="100"/>
        <c:noMultiLvlLbl val="0"/>
      </c:catAx>
      <c:valAx>
        <c:axId val="63601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Admissions Distribution by Affiliation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Sheet3!$A$4:$A$14</c:f>
              <c:strCache>
                <c:ptCount val="10"/>
                <c:pt idx="0">
                  <c:v>Allina Health System</c:v>
                </c:pt>
                <c:pt idx="1">
                  <c:v>Catholic Health Initiatives</c:v>
                </c:pt>
                <c:pt idx="2">
                  <c:v>CentraCare Health System</c:v>
                </c:pt>
                <c:pt idx="3">
                  <c:v>Dept of Human Services, State of MN</c:v>
                </c:pt>
                <c:pt idx="4">
                  <c:v>Essentia Health</c:v>
                </c:pt>
                <c:pt idx="5">
                  <c:v>M Health Fairview</c:v>
                </c:pt>
                <c:pt idx="6">
                  <c:v>Mayo Clinic</c:v>
                </c:pt>
                <c:pt idx="7">
                  <c:v>No Affiliation</c:v>
                </c:pt>
                <c:pt idx="8">
                  <c:v>Ridgeview Medical Center</c:v>
                </c:pt>
                <c:pt idx="9">
                  <c:v>Sanford Health</c:v>
                </c:pt>
              </c:strCache>
            </c:strRef>
          </c:cat>
          <c:val>
            <c:numRef>
              <c:f>Sheet3!$B$4:$B$14</c:f>
              <c:numCache>
                <c:formatCode>General</c:formatCode>
                <c:ptCount val="10"/>
                <c:pt idx="0">
                  <c:v>937</c:v>
                </c:pt>
                <c:pt idx="1">
                  <c:v>92</c:v>
                </c:pt>
                <c:pt idx="2">
                  <c:v>162</c:v>
                </c:pt>
                <c:pt idx="3">
                  <c:v>1430</c:v>
                </c:pt>
                <c:pt idx="4">
                  <c:v>713</c:v>
                </c:pt>
                <c:pt idx="5">
                  <c:v>350</c:v>
                </c:pt>
                <c:pt idx="6">
                  <c:v>406</c:v>
                </c:pt>
                <c:pt idx="7">
                  <c:v>3587</c:v>
                </c:pt>
                <c:pt idx="8">
                  <c:v>1049</c:v>
                </c:pt>
                <c:pt idx="9">
                  <c:v>1212</c:v>
                </c:pt>
              </c:numCache>
            </c:numRef>
          </c:val>
          <c:extLst>
            <c:ext xmlns:c16="http://schemas.microsoft.com/office/drawing/2014/chart" uri="{C3380CC4-5D6E-409C-BE32-E72D297353CC}">
              <c16:uniqueId val="{00000000-E4E1-48FB-B51F-0A04CA94B2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Hospitals by Admissions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3"/>
          </a:solidFill>
          <a:ln>
            <a:noFill/>
          </a:ln>
          <a:effectLst/>
        </c:spPr>
      </c:pivotFmt>
      <c:pivotFmt>
        <c:idx val="3"/>
        <c:spPr>
          <a:solidFill>
            <a:srgbClr val="0070C0"/>
          </a:solidFill>
          <a:ln>
            <a:noFill/>
          </a:ln>
          <a:effectLst/>
        </c:spPr>
      </c:pivotFmt>
      <c:pivotFmt>
        <c:idx val="4"/>
        <c:spPr>
          <a:solidFill>
            <a:schemeClr val="accent6">
              <a:lumMod val="50000"/>
            </a:schemeClr>
          </a:solidFill>
          <a:ln>
            <a:noFill/>
          </a:ln>
          <a:effectLst/>
        </c:spPr>
      </c:pivotFmt>
      <c:pivotFmt>
        <c:idx val="5"/>
        <c:spPr>
          <a:solidFill>
            <a:schemeClr val="bg2">
              <a:lumMod val="25000"/>
            </a:schemeClr>
          </a:solidFill>
          <a:ln>
            <a:noFill/>
          </a:ln>
          <a:effectLst/>
        </c:spP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6-1ABB-4A03-90DB-DA735358A7F1}"/>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5-1ABB-4A03-90DB-DA735358A7F1}"/>
              </c:ext>
            </c:extLst>
          </c:dPt>
          <c:dPt>
            <c:idx val="2"/>
            <c:invertIfNegative val="0"/>
            <c:bubble3D val="0"/>
            <c:spPr>
              <a:solidFill>
                <a:srgbClr val="0070C0"/>
              </a:solidFill>
              <a:ln>
                <a:noFill/>
              </a:ln>
              <a:effectLst/>
            </c:spPr>
            <c:extLst>
              <c:ext xmlns:c16="http://schemas.microsoft.com/office/drawing/2014/chart" uri="{C3380CC4-5D6E-409C-BE32-E72D297353CC}">
                <c16:uniqueId val="{00000004-1ABB-4A03-90DB-DA735358A7F1}"/>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3-1ABB-4A03-90DB-DA735358A7F1}"/>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2-1ABB-4A03-90DB-DA735358A7F1}"/>
              </c:ext>
            </c:extLst>
          </c:dPt>
          <c:cat>
            <c:strRef>
              <c:f>Sheet4!$A$4:$A$9</c:f>
              <c:strCache>
                <c:ptCount val="5"/>
                <c:pt idx="0">
                  <c:v>Alomere Health</c:v>
                </c:pt>
                <c:pt idx="1">
                  <c:v>Appleton Area Health</c:v>
                </c:pt>
                <c:pt idx="2">
                  <c:v>Essentia Health Ada</c:v>
                </c:pt>
                <c:pt idx="3">
                  <c:v>Essentia Health Northern Pines</c:v>
                </c:pt>
                <c:pt idx="4">
                  <c:v>Ridgeview Sibley Medical Center</c:v>
                </c:pt>
              </c:strCache>
            </c:strRef>
          </c:cat>
          <c:val>
            <c:numRef>
              <c:f>Sheet4!$B$4:$B$9</c:f>
              <c:numCache>
                <c:formatCode>General</c:formatCode>
                <c:ptCount val="5"/>
                <c:pt idx="0">
                  <c:v>2753</c:v>
                </c:pt>
                <c:pt idx="1">
                  <c:v>2129</c:v>
                </c:pt>
                <c:pt idx="2">
                  <c:v>1292</c:v>
                </c:pt>
                <c:pt idx="3">
                  <c:v>974</c:v>
                </c:pt>
                <c:pt idx="4">
                  <c:v>1259</c:v>
                </c:pt>
              </c:numCache>
            </c:numRef>
          </c:val>
          <c:extLst>
            <c:ext xmlns:c16="http://schemas.microsoft.com/office/drawing/2014/chart" uri="{C3380CC4-5D6E-409C-BE32-E72D297353CC}">
              <c16:uniqueId val="{00000000-1ABB-4A03-90DB-DA735358A7F1}"/>
            </c:ext>
          </c:extLst>
        </c:ser>
        <c:dLbls>
          <c:showLegendKey val="0"/>
          <c:showVal val="0"/>
          <c:showCatName val="0"/>
          <c:showSerName val="0"/>
          <c:showPercent val="0"/>
          <c:showBubbleSize val="0"/>
        </c:dLbls>
        <c:gapWidth val="182"/>
        <c:axId val="636037936"/>
        <c:axId val="636036976"/>
      </c:barChart>
      <c:catAx>
        <c:axId val="636037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hospital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36976"/>
        <c:crosses val="autoZero"/>
        <c:auto val="1"/>
        <c:lblAlgn val="ctr"/>
        <c:lblOffset val="100"/>
        <c:noMultiLvlLbl val="0"/>
      </c:catAx>
      <c:valAx>
        <c:axId val="636036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Admission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3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Quarterly Admissions Trend by Affiliation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Allina Health System</c:v>
                </c:pt>
              </c:strCache>
            </c:strRef>
          </c:tx>
          <c:spPr>
            <a:ln w="28575" cap="rnd">
              <a:solidFill>
                <a:schemeClr val="accent1"/>
              </a:solidFill>
              <a:round/>
            </a:ln>
            <a:effectLst/>
          </c:spPr>
          <c:marker>
            <c:symbol val="none"/>
          </c:marker>
          <c:cat>
            <c:strRef>
              <c:f>Sheet1!$A$5:$A$9</c:f>
              <c:strCache>
                <c:ptCount val="4"/>
                <c:pt idx="0">
                  <c:v>1</c:v>
                </c:pt>
                <c:pt idx="1">
                  <c:v>2</c:v>
                </c:pt>
                <c:pt idx="2">
                  <c:v>3</c:v>
                </c:pt>
                <c:pt idx="3">
                  <c:v>4</c:v>
                </c:pt>
              </c:strCache>
            </c:strRef>
          </c:cat>
          <c:val>
            <c:numRef>
              <c:f>Sheet1!$B$5:$B$9</c:f>
              <c:numCache>
                <c:formatCode>General</c:formatCode>
                <c:ptCount val="4"/>
                <c:pt idx="2">
                  <c:v>312</c:v>
                </c:pt>
                <c:pt idx="3">
                  <c:v>625</c:v>
                </c:pt>
              </c:numCache>
            </c:numRef>
          </c:val>
          <c:smooth val="0"/>
          <c:extLst>
            <c:ext xmlns:c16="http://schemas.microsoft.com/office/drawing/2014/chart" uri="{C3380CC4-5D6E-409C-BE32-E72D297353CC}">
              <c16:uniqueId val="{00000000-FE0E-4E12-973F-341FC9511871}"/>
            </c:ext>
          </c:extLst>
        </c:ser>
        <c:ser>
          <c:idx val="1"/>
          <c:order val="1"/>
          <c:tx>
            <c:strRef>
              <c:f>Sheet1!$C$3:$C$4</c:f>
              <c:strCache>
                <c:ptCount val="1"/>
                <c:pt idx="0">
                  <c:v>Catholic Health Initiatives</c:v>
                </c:pt>
              </c:strCache>
            </c:strRef>
          </c:tx>
          <c:spPr>
            <a:ln w="28575" cap="rnd">
              <a:solidFill>
                <a:schemeClr val="accent2"/>
              </a:solidFill>
              <a:round/>
            </a:ln>
            <a:effectLst/>
          </c:spPr>
          <c:marker>
            <c:symbol val="none"/>
          </c:marker>
          <c:cat>
            <c:strRef>
              <c:f>Sheet1!$A$5:$A$9</c:f>
              <c:strCache>
                <c:ptCount val="4"/>
                <c:pt idx="0">
                  <c:v>1</c:v>
                </c:pt>
                <c:pt idx="1">
                  <c:v>2</c:v>
                </c:pt>
                <c:pt idx="2">
                  <c:v>3</c:v>
                </c:pt>
                <c:pt idx="3">
                  <c:v>4</c:v>
                </c:pt>
              </c:strCache>
            </c:strRef>
          </c:cat>
          <c:val>
            <c:numRef>
              <c:f>Sheet1!$C$5:$C$9</c:f>
              <c:numCache>
                <c:formatCode>General</c:formatCode>
                <c:ptCount val="4"/>
                <c:pt idx="2">
                  <c:v>92</c:v>
                </c:pt>
              </c:numCache>
            </c:numRef>
          </c:val>
          <c:smooth val="0"/>
          <c:extLst>
            <c:ext xmlns:c16="http://schemas.microsoft.com/office/drawing/2014/chart" uri="{C3380CC4-5D6E-409C-BE32-E72D297353CC}">
              <c16:uniqueId val="{00000001-FE0E-4E12-973F-341FC9511871}"/>
            </c:ext>
          </c:extLst>
        </c:ser>
        <c:ser>
          <c:idx val="2"/>
          <c:order val="2"/>
          <c:tx>
            <c:strRef>
              <c:f>Sheet1!$D$3:$D$4</c:f>
              <c:strCache>
                <c:ptCount val="1"/>
                <c:pt idx="0">
                  <c:v>CentraCare Health System</c:v>
                </c:pt>
              </c:strCache>
            </c:strRef>
          </c:tx>
          <c:spPr>
            <a:ln w="28575" cap="rnd">
              <a:solidFill>
                <a:schemeClr val="accent3"/>
              </a:solidFill>
              <a:round/>
            </a:ln>
            <a:effectLst/>
          </c:spPr>
          <c:marker>
            <c:symbol val="none"/>
          </c:marker>
          <c:cat>
            <c:strRef>
              <c:f>Sheet1!$A$5:$A$9</c:f>
              <c:strCache>
                <c:ptCount val="4"/>
                <c:pt idx="0">
                  <c:v>1</c:v>
                </c:pt>
                <c:pt idx="1">
                  <c:v>2</c:v>
                </c:pt>
                <c:pt idx="2">
                  <c:v>3</c:v>
                </c:pt>
                <c:pt idx="3">
                  <c:v>4</c:v>
                </c:pt>
              </c:strCache>
            </c:strRef>
          </c:cat>
          <c:val>
            <c:numRef>
              <c:f>Sheet1!$D$5:$D$9</c:f>
              <c:numCache>
                <c:formatCode>General</c:formatCode>
                <c:ptCount val="4"/>
                <c:pt idx="1">
                  <c:v>162</c:v>
                </c:pt>
              </c:numCache>
            </c:numRef>
          </c:val>
          <c:smooth val="0"/>
          <c:extLst>
            <c:ext xmlns:c16="http://schemas.microsoft.com/office/drawing/2014/chart" uri="{C3380CC4-5D6E-409C-BE32-E72D297353CC}">
              <c16:uniqueId val="{00000002-FE0E-4E12-973F-341FC9511871}"/>
            </c:ext>
          </c:extLst>
        </c:ser>
        <c:ser>
          <c:idx val="3"/>
          <c:order val="3"/>
          <c:tx>
            <c:strRef>
              <c:f>Sheet1!$E$3:$E$4</c:f>
              <c:strCache>
                <c:ptCount val="1"/>
                <c:pt idx="0">
                  <c:v>Dept of Human Services, State of MN</c:v>
                </c:pt>
              </c:strCache>
            </c:strRef>
          </c:tx>
          <c:spPr>
            <a:ln w="28575" cap="rnd">
              <a:solidFill>
                <a:schemeClr val="accent4"/>
              </a:solidFill>
              <a:round/>
            </a:ln>
            <a:effectLst/>
          </c:spPr>
          <c:marker>
            <c:symbol val="none"/>
          </c:marker>
          <c:cat>
            <c:strRef>
              <c:f>Sheet1!$A$5:$A$9</c:f>
              <c:strCache>
                <c:ptCount val="4"/>
                <c:pt idx="0">
                  <c:v>1</c:v>
                </c:pt>
                <c:pt idx="1">
                  <c:v>2</c:v>
                </c:pt>
                <c:pt idx="2">
                  <c:v>3</c:v>
                </c:pt>
                <c:pt idx="3">
                  <c:v>4</c:v>
                </c:pt>
              </c:strCache>
            </c:strRef>
          </c:cat>
          <c:val>
            <c:numRef>
              <c:f>Sheet1!$E$5:$E$9</c:f>
              <c:numCache>
                <c:formatCode>General</c:formatCode>
                <c:ptCount val="4"/>
                <c:pt idx="0">
                  <c:v>1237</c:v>
                </c:pt>
                <c:pt idx="1">
                  <c:v>193</c:v>
                </c:pt>
              </c:numCache>
            </c:numRef>
          </c:val>
          <c:smooth val="0"/>
          <c:extLst>
            <c:ext xmlns:c16="http://schemas.microsoft.com/office/drawing/2014/chart" uri="{C3380CC4-5D6E-409C-BE32-E72D297353CC}">
              <c16:uniqueId val="{00000003-FE0E-4E12-973F-341FC9511871}"/>
            </c:ext>
          </c:extLst>
        </c:ser>
        <c:ser>
          <c:idx val="4"/>
          <c:order val="4"/>
          <c:tx>
            <c:strRef>
              <c:f>Sheet1!$F$3:$F$4</c:f>
              <c:strCache>
                <c:ptCount val="1"/>
                <c:pt idx="0">
                  <c:v>Essentia Health</c:v>
                </c:pt>
              </c:strCache>
            </c:strRef>
          </c:tx>
          <c:spPr>
            <a:ln w="28575" cap="rnd">
              <a:solidFill>
                <a:schemeClr val="accent5"/>
              </a:solidFill>
              <a:round/>
            </a:ln>
            <a:effectLst/>
          </c:spPr>
          <c:marker>
            <c:symbol val="none"/>
          </c:marker>
          <c:cat>
            <c:strRef>
              <c:f>Sheet1!$A$5:$A$9</c:f>
              <c:strCache>
                <c:ptCount val="4"/>
                <c:pt idx="0">
                  <c:v>1</c:v>
                </c:pt>
                <c:pt idx="1">
                  <c:v>2</c:v>
                </c:pt>
                <c:pt idx="2">
                  <c:v>3</c:v>
                </c:pt>
                <c:pt idx="3">
                  <c:v>4</c:v>
                </c:pt>
              </c:strCache>
            </c:strRef>
          </c:cat>
          <c:val>
            <c:numRef>
              <c:f>Sheet1!$F$5:$F$9</c:f>
              <c:numCache>
                <c:formatCode>General</c:formatCode>
                <c:ptCount val="4"/>
                <c:pt idx="0">
                  <c:v>59</c:v>
                </c:pt>
                <c:pt idx="1">
                  <c:v>366</c:v>
                </c:pt>
                <c:pt idx="2">
                  <c:v>288</c:v>
                </c:pt>
              </c:numCache>
            </c:numRef>
          </c:val>
          <c:smooth val="0"/>
          <c:extLst>
            <c:ext xmlns:c16="http://schemas.microsoft.com/office/drawing/2014/chart" uri="{C3380CC4-5D6E-409C-BE32-E72D297353CC}">
              <c16:uniqueId val="{00000004-FE0E-4E12-973F-341FC9511871}"/>
            </c:ext>
          </c:extLst>
        </c:ser>
        <c:ser>
          <c:idx val="5"/>
          <c:order val="5"/>
          <c:tx>
            <c:strRef>
              <c:f>Sheet1!$G$3:$G$4</c:f>
              <c:strCache>
                <c:ptCount val="1"/>
                <c:pt idx="0">
                  <c:v>M Health Fairview</c:v>
                </c:pt>
              </c:strCache>
            </c:strRef>
          </c:tx>
          <c:spPr>
            <a:ln w="28575" cap="rnd">
              <a:solidFill>
                <a:schemeClr val="accent6"/>
              </a:solidFill>
              <a:round/>
            </a:ln>
            <a:effectLst/>
          </c:spPr>
          <c:marker>
            <c:symbol val="none"/>
          </c:marker>
          <c:cat>
            <c:strRef>
              <c:f>Sheet1!$A$5:$A$9</c:f>
              <c:strCache>
                <c:ptCount val="4"/>
                <c:pt idx="0">
                  <c:v>1</c:v>
                </c:pt>
                <c:pt idx="1">
                  <c:v>2</c:v>
                </c:pt>
                <c:pt idx="2">
                  <c:v>3</c:v>
                </c:pt>
                <c:pt idx="3">
                  <c:v>4</c:v>
                </c:pt>
              </c:strCache>
            </c:strRef>
          </c:cat>
          <c:val>
            <c:numRef>
              <c:f>Sheet1!$G$5:$G$9</c:f>
              <c:numCache>
                <c:formatCode>General</c:formatCode>
                <c:ptCount val="4"/>
                <c:pt idx="2">
                  <c:v>350</c:v>
                </c:pt>
              </c:numCache>
            </c:numRef>
          </c:val>
          <c:smooth val="0"/>
          <c:extLst>
            <c:ext xmlns:c16="http://schemas.microsoft.com/office/drawing/2014/chart" uri="{C3380CC4-5D6E-409C-BE32-E72D297353CC}">
              <c16:uniqueId val="{00000005-FE0E-4E12-973F-341FC9511871}"/>
            </c:ext>
          </c:extLst>
        </c:ser>
        <c:ser>
          <c:idx val="6"/>
          <c:order val="6"/>
          <c:tx>
            <c:strRef>
              <c:f>Sheet1!$H$3:$H$4</c:f>
              <c:strCache>
                <c:ptCount val="1"/>
                <c:pt idx="0">
                  <c:v>Mayo Clinic</c:v>
                </c:pt>
              </c:strCache>
            </c:strRef>
          </c:tx>
          <c:spPr>
            <a:ln w="28575" cap="rnd">
              <a:solidFill>
                <a:schemeClr val="accent1">
                  <a:lumMod val="60000"/>
                </a:schemeClr>
              </a:solidFill>
              <a:round/>
            </a:ln>
            <a:effectLst/>
          </c:spPr>
          <c:marker>
            <c:symbol val="none"/>
          </c:marker>
          <c:cat>
            <c:strRef>
              <c:f>Sheet1!$A$5:$A$9</c:f>
              <c:strCache>
                <c:ptCount val="4"/>
                <c:pt idx="0">
                  <c:v>1</c:v>
                </c:pt>
                <c:pt idx="1">
                  <c:v>2</c:v>
                </c:pt>
                <c:pt idx="2">
                  <c:v>3</c:v>
                </c:pt>
                <c:pt idx="3">
                  <c:v>4</c:v>
                </c:pt>
              </c:strCache>
            </c:strRef>
          </c:cat>
          <c:val>
            <c:numRef>
              <c:f>Sheet1!$H$5:$H$9</c:f>
              <c:numCache>
                <c:formatCode>General</c:formatCode>
                <c:ptCount val="4"/>
                <c:pt idx="0">
                  <c:v>342</c:v>
                </c:pt>
                <c:pt idx="3">
                  <c:v>64</c:v>
                </c:pt>
              </c:numCache>
            </c:numRef>
          </c:val>
          <c:smooth val="0"/>
          <c:extLst>
            <c:ext xmlns:c16="http://schemas.microsoft.com/office/drawing/2014/chart" uri="{C3380CC4-5D6E-409C-BE32-E72D297353CC}">
              <c16:uniqueId val="{00000006-FE0E-4E12-973F-341FC9511871}"/>
            </c:ext>
          </c:extLst>
        </c:ser>
        <c:ser>
          <c:idx val="7"/>
          <c:order val="7"/>
          <c:tx>
            <c:strRef>
              <c:f>Sheet1!$I$3:$I$4</c:f>
              <c:strCache>
                <c:ptCount val="1"/>
                <c:pt idx="0">
                  <c:v>No Affiliation</c:v>
                </c:pt>
              </c:strCache>
            </c:strRef>
          </c:tx>
          <c:spPr>
            <a:ln w="28575" cap="rnd">
              <a:solidFill>
                <a:schemeClr val="accent2">
                  <a:lumMod val="60000"/>
                </a:schemeClr>
              </a:solidFill>
              <a:round/>
            </a:ln>
            <a:effectLst/>
          </c:spPr>
          <c:marker>
            <c:symbol val="none"/>
          </c:marker>
          <c:cat>
            <c:strRef>
              <c:f>Sheet1!$A$5:$A$9</c:f>
              <c:strCache>
                <c:ptCount val="4"/>
                <c:pt idx="0">
                  <c:v>1</c:v>
                </c:pt>
                <c:pt idx="1">
                  <c:v>2</c:v>
                </c:pt>
                <c:pt idx="2">
                  <c:v>3</c:v>
                </c:pt>
                <c:pt idx="3">
                  <c:v>4</c:v>
                </c:pt>
              </c:strCache>
            </c:strRef>
          </c:cat>
          <c:val>
            <c:numRef>
              <c:f>Sheet1!$I$5:$I$9</c:f>
              <c:numCache>
                <c:formatCode>General</c:formatCode>
                <c:ptCount val="4"/>
                <c:pt idx="0">
                  <c:v>967</c:v>
                </c:pt>
                <c:pt idx="1">
                  <c:v>1809</c:v>
                </c:pt>
                <c:pt idx="2">
                  <c:v>324</c:v>
                </c:pt>
                <c:pt idx="3">
                  <c:v>487</c:v>
                </c:pt>
              </c:numCache>
            </c:numRef>
          </c:val>
          <c:smooth val="0"/>
          <c:extLst>
            <c:ext xmlns:c16="http://schemas.microsoft.com/office/drawing/2014/chart" uri="{C3380CC4-5D6E-409C-BE32-E72D297353CC}">
              <c16:uniqueId val="{00000007-FE0E-4E12-973F-341FC9511871}"/>
            </c:ext>
          </c:extLst>
        </c:ser>
        <c:ser>
          <c:idx val="8"/>
          <c:order val="8"/>
          <c:tx>
            <c:strRef>
              <c:f>Sheet1!$J$3:$J$4</c:f>
              <c:strCache>
                <c:ptCount val="1"/>
                <c:pt idx="0">
                  <c:v>Ridgeview Medical Center</c:v>
                </c:pt>
              </c:strCache>
            </c:strRef>
          </c:tx>
          <c:spPr>
            <a:ln w="28575" cap="rnd">
              <a:solidFill>
                <a:schemeClr val="accent3">
                  <a:lumMod val="60000"/>
                </a:schemeClr>
              </a:solidFill>
              <a:round/>
            </a:ln>
            <a:effectLst/>
          </c:spPr>
          <c:marker>
            <c:symbol val="none"/>
          </c:marker>
          <c:cat>
            <c:strRef>
              <c:f>Sheet1!$A$5:$A$9</c:f>
              <c:strCache>
                <c:ptCount val="4"/>
                <c:pt idx="0">
                  <c:v>1</c:v>
                </c:pt>
                <c:pt idx="1">
                  <c:v>2</c:v>
                </c:pt>
                <c:pt idx="2">
                  <c:v>3</c:v>
                </c:pt>
                <c:pt idx="3">
                  <c:v>4</c:v>
                </c:pt>
              </c:strCache>
            </c:strRef>
          </c:cat>
          <c:val>
            <c:numRef>
              <c:f>Sheet1!$J$5:$J$9</c:f>
              <c:numCache>
                <c:formatCode>General</c:formatCode>
                <c:ptCount val="4"/>
                <c:pt idx="1">
                  <c:v>1049</c:v>
                </c:pt>
              </c:numCache>
            </c:numRef>
          </c:val>
          <c:smooth val="0"/>
          <c:extLst>
            <c:ext xmlns:c16="http://schemas.microsoft.com/office/drawing/2014/chart" uri="{C3380CC4-5D6E-409C-BE32-E72D297353CC}">
              <c16:uniqueId val="{00000008-FE0E-4E12-973F-341FC9511871}"/>
            </c:ext>
          </c:extLst>
        </c:ser>
        <c:ser>
          <c:idx val="9"/>
          <c:order val="9"/>
          <c:tx>
            <c:strRef>
              <c:f>Sheet1!$K$3:$K$4</c:f>
              <c:strCache>
                <c:ptCount val="1"/>
                <c:pt idx="0">
                  <c:v>Sanford Health</c:v>
                </c:pt>
              </c:strCache>
            </c:strRef>
          </c:tx>
          <c:spPr>
            <a:ln w="28575" cap="rnd">
              <a:solidFill>
                <a:schemeClr val="accent4">
                  <a:lumMod val="60000"/>
                </a:schemeClr>
              </a:solidFill>
              <a:round/>
            </a:ln>
            <a:effectLst/>
          </c:spPr>
          <c:marker>
            <c:symbol val="none"/>
          </c:marker>
          <c:cat>
            <c:strRef>
              <c:f>Sheet1!$A$5:$A$9</c:f>
              <c:strCache>
                <c:ptCount val="4"/>
                <c:pt idx="0">
                  <c:v>1</c:v>
                </c:pt>
                <c:pt idx="1">
                  <c:v>2</c:v>
                </c:pt>
                <c:pt idx="2">
                  <c:v>3</c:v>
                </c:pt>
                <c:pt idx="3">
                  <c:v>4</c:v>
                </c:pt>
              </c:strCache>
            </c:strRef>
          </c:cat>
          <c:val>
            <c:numRef>
              <c:f>Sheet1!$K$5:$K$9</c:f>
              <c:numCache>
                <c:formatCode>General</c:formatCode>
                <c:ptCount val="4"/>
                <c:pt idx="1">
                  <c:v>1112</c:v>
                </c:pt>
                <c:pt idx="3">
                  <c:v>100</c:v>
                </c:pt>
              </c:numCache>
            </c:numRef>
          </c:val>
          <c:smooth val="0"/>
          <c:extLst>
            <c:ext xmlns:c16="http://schemas.microsoft.com/office/drawing/2014/chart" uri="{C3380CC4-5D6E-409C-BE32-E72D297353CC}">
              <c16:uniqueId val="{00000009-FE0E-4E12-973F-341FC9511871}"/>
            </c:ext>
          </c:extLst>
        </c:ser>
        <c:dLbls>
          <c:showLegendKey val="0"/>
          <c:showVal val="0"/>
          <c:showCatName val="0"/>
          <c:showSerName val="0"/>
          <c:showPercent val="0"/>
          <c:showBubbleSize val="0"/>
        </c:dLbls>
        <c:smooth val="0"/>
        <c:axId val="427476960"/>
        <c:axId val="427460640"/>
      </c:lineChart>
      <c:catAx>
        <c:axId val="427476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60640"/>
        <c:crosses val="autoZero"/>
        <c:auto val="1"/>
        <c:lblAlgn val="ctr"/>
        <c:lblOffset val="100"/>
        <c:noMultiLvlLbl val="0"/>
      </c:catAx>
      <c:valAx>
        <c:axId val="42746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admission</a:t>
                </a:r>
                <a:r>
                  <a:rPr lang="en-US" baseline="0"/>
                  <a:t> number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7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Hospitals by Admissions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3"/>
          </a:solidFill>
          <a:ln>
            <a:noFill/>
          </a:ln>
          <a:effectLst/>
        </c:spPr>
      </c:pivotFmt>
      <c:pivotFmt>
        <c:idx val="3"/>
        <c:spPr>
          <a:solidFill>
            <a:srgbClr val="0070C0"/>
          </a:solidFill>
          <a:ln>
            <a:noFill/>
          </a:ln>
          <a:effectLst/>
        </c:spPr>
      </c:pivotFmt>
      <c:pivotFmt>
        <c:idx val="4"/>
        <c:spPr>
          <a:solidFill>
            <a:schemeClr val="accent6">
              <a:lumMod val="50000"/>
            </a:schemeClr>
          </a:solidFill>
          <a:ln>
            <a:noFill/>
          </a:ln>
          <a:effectLst/>
        </c:spPr>
      </c:pivotFmt>
      <c:pivotFmt>
        <c:idx val="5"/>
        <c:spPr>
          <a:solidFill>
            <a:schemeClr val="bg2">
              <a:lumMod val="2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c:spPr>
      </c:pivotFmt>
      <c:pivotFmt>
        <c:idx val="8"/>
        <c:spPr>
          <a:solidFill>
            <a:schemeClr val="accent6">
              <a:lumMod val="50000"/>
            </a:schemeClr>
          </a:solidFill>
          <a:ln>
            <a:noFill/>
          </a:ln>
          <a:effectLst/>
        </c:spPr>
      </c:pivotFmt>
      <c:pivotFmt>
        <c:idx val="9"/>
        <c:spPr>
          <a:solidFill>
            <a:srgbClr val="0070C0"/>
          </a:solidFill>
          <a:ln>
            <a:noFill/>
          </a:ln>
          <a:effectLst/>
        </c:spPr>
      </c:pivotFmt>
      <c:pivotFmt>
        <c:idx val="10"/>
        <c:spPr>
          <a:solidFill>
            <a:schemeClr val="accent3"/>
          </a:solidFill>
          <a:ln>
            <a:noFill/>
          </a:ln>
          <a:effectLst/>
        </c:spPr>
      </c:pivotFmt>
      <c:pivotFmt>
        <c:idx val="11"/>
        <c:spPr>
          <a:solidFill>
            <a:schemeClr val="accent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25000"/>
            </a:schemeClr>
          </a:solidFill>
          <a:ln>
            <a:noFill/>
          </a:ln>
          <a:effectLst/>
        </c:spPr>
      </c:pivotFmt>
      <c:pivotFmt>
        <c:idx val="14"/>
        <c:spPr>
          <a:solidFill>
            <a:schemeClr val="accent6">
              <a:lumMod val="50000"/>
            </a:schemeClr>
          </a:solidFill>
          <a:ln>
            <a:noFill/>
          </a:ln>
          <a:effectLst/>
        </c:spPr>
      </c:pivotFmt>
      <c:pivotFmt>
        <c:idx val="15"/>
        <c:spPr>
          <a:solidFill>
            <a:srgbClr val="0070C0"/>
          </a:solidFill>
          <a:ln>
            <a:noFill/>
          </a:ln>
          <a:effectLst/>
        </c:spPr>
      </c:pivotFmt>
      <c:pivotFmt>
        <c:idx val="16"/>
        <c:spPr>
          <a:solidFill>
            <a:schemeClr val="accent3"/>
          </a:solidFill>
          <a:ln>
            <a:noFill/>
          </a:ln>
          <a:effectLst/>
        </c:spPr>
      </c:pivotFmt>
      <c:pivotFmt>
        <c:idx val="17"/>
        <c:spPr>
          <a:solidFill>
            <a:schemeClr val="accent2"/>
          </a:solidFill>
          <a:ln>
            <a:noFill/>
          </a:ln>
          <a:effectLst/>
        </c:spP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1-DA5F-412A-8051-57B89BE5EE1E}"/>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DA5F-412A-8051-57B89BE5EE1E}"/>
              </c:ext>
            </c:extLst>
          </c:dPt>
          <c:dPt>
            <c:idx val="2"/>
            <c:invertIfNegative val="0"/>
            <c:bubble3D val="0"/>
            <c:spPr>
              <a:solidFill>
                <a:srgbClr val="0070C0"/>
              </a:solidFill>
              <a:ln>
                <a:noFill/>
              </a:ln>
              <a:effectLst/>
            </c:spPr>
            <c:extLst>
              <c:ext xmlns:c16="http://schemas.microsoft.com/office/drawing/2014/chart" uri="{C3380CC4-5D6E-409C-BE32-E72D297353CC}">
                <c16:uniqueId val="{00000005-DA5F-412A-8051-57B89BE5EE1E}"/>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DA5F-412A-8051-57B89BE5EE1E}"/>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9-DA5F-412A-8051-57B89BE5EE1E}"/>
              </c:ext>
            </c:extLst>
          </c:dPt>
          <c:cat>
            <c:strRef>
              <c:f>Sheet4!$A$4:$A$9</c:f>
              <c:strCache>
                <c:ptCount val="5"/>
                <c:pt idx="0">
                  <c:v>Alomere Health</c:v>
                </c:pt>
                <c:pt idx="1">
                  <c:v>Appleton Area Health</c:v>
                </c:pt>
                <c:pt idx="2">
                  <c:v>Essentia Health Ada</c:v>
                </c:pt>
                <c:pt idx="3">
                  <c:v>Essentia Health Northern Pines</c:v>
                </c:pt>
                <c:pt idx="4">
                  <c:v>Ridgeview Sibley Medical Center</c:v>
                </c:pt>
              </c:strCache>
            </c:strRef>
          </c:cat>
          <c:val>
            <c:numRef>
              <c:f>Sheet4!$B$4:$B$9</c:f>
              <c:numCache>
                <c:formatCode>General</c:formatCode>
                <c:ptCount val="5"/>
                <c:pt idx="0">
                  <c:v>2753</c:v>
                </c:pt>
                <c:pt idx="1">
                  <c:v>2129</c:v>
                </c:pt>
                <c:pt idx="2">
                  <c:v>1292</c:v>
                </c:pt>
                <c:pt idx="3">
                  <c:v>974</c:v>
                </c:pt>
                <c:pt idx="4">
                  <c:v>1259</c:v>
                </c:pt>
              </c:numCache>
            </c:numRef>
          </c:val>
          <c:extLst>
            <c:ext xmlns:c16="http://schemas.microsoft.com/office/drawing/2014/chart" uri="{C3380CC4-5D6E-409C-BE32-E72D297353CC}">
              <c16:uniqueId val="{0000000A-DA5F-412A-8051-57B89BE5EE1E}"/>
            </c:ext>
          </c:extLst>
        </c:ser>
        <c:dLbls>
          <c:showLegendKey val="0"/>
          <c:showVal val="0"/>
          <c:showCatName val="0"/>
          <c:showSerName val="0"/>
          <c:showPercent val="0"/>
          <c:showBubbleSize val="0"/>
        </c:dLbls>
        <c:gapWidth val="182"/>
        <c:axId val="636037936"/>
        <c:axId val="636036976"/>
      </c:barChart>
      <c:catAx>
        <c:axId val="636037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hospital</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36976"/>
        <c:crosses val="autoZero"/>
        <c:auto val="1"/>
        <c:lblAlgn val="ctr"/>
        <c:lblOffset val="100"/>
        <c:noMultiLvlLbl val="0"/>
      </c:catAx>
      <c:valAx>
        <c:axId val="636036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Admission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3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Admissions Distribution by Affiliation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31-4F7C-974A-9980F580E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31-4F7C-974A-9980F580E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31-4F7C-974A-9980F580E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31-4F7C-974A-9980F580E6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31-4F7C-974A-9980F580E6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31-4F7C-974A-9980F580E66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431-4F7C-974A-9980F580E66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431-4F7C-974A-9980F580E66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431-4F7C-974A-9980F580E66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431-4F7C-974A-9980F580E660}"/>
              </c:ext>
            </c:extLst>
          </c:dPt>
          <c:cat>
            <c:strRef>
              <c:f>Sheet3!$A$4:$A$14</c:f>
              <c:strCache>
                <c:ptCount val="10"/>
                <c:pt idx="0">
                  <c:v>Allina Health System</c:v>
                </c:pt>
                <c:pt idx="1">
                  <c:v>Catholic Health Initiatives</c:v>
                </c:pt>
                <c:pt idx="2">
                  <c:v>CentraCare Health System</c:v>
                </c:pt>
                <c:pt idx="3">
                  <c:v>Dept of Human Services, State of MN</c:v>
                </c:pt>
                <c:pt idx="4">
                  <c:v>Essentia Health</c:v>
                </c:pt>
                <c:pt idx="5">
                  <c:v>M Health Fairview</c:v>
                </c:pt>
                <c:pt idx="6">
                  <c:v>Mayo Clinic</c:v>
                </c:pt>
                <c:pt idx="7">
                  <c:v>No Affiliation</c:v>
                </c:pt>
                <c:pt idx="8">
                  <c:v>Ridgeview Medical Center</c:v>
                </c:pt>
                <c:pt idx="9">
                  <c:v>Sanford Health</c:v>
                </c:pt>
              </c:strCache>
            </c:strRef>
          </c:cat>
          <c:val>
            <c:numRef>
              <c:f>Sheet3!$B$4:$B$14</c:f>
              <c:numCache>
                <c:formatCode>General</c:formatCode>
                <c:ptCount val="10"/>
                <c:pt idx="0">
                  <c:v>937</c:v>
                </c:pt>
                <c:pt idx="1">
                  <c:v>92</c:v>
                </c:pt>
                <c:pt idx="2">
                  <c:v>162</c:v>
                </c:pt>
                <c:pt idx="3">
                  <c:v>1430</c:v>
                </c:pt>
                <c:pt idx="4">
                  <c:v>713</c:v>
                </c:pt>
                <c:pt idx="5">
                  <c:v>350</c:v>
                </c:pt>
                <c:pt idx="6">
                  <c:v>406</c:v>
                </c:pt>
                <c:pt idx="7">
                  <c:v>3587</c:v>
                </c:pt>
                <c:pt idx="8">
                  <c:v>1049</c:v>
                </c:pt>
                <c:pt idx="9">
                  <c:v>1212</c:v>
                </c:pt>
              </c:numCache>
            </c:numRef>
          </c:val>
          <c:extLst>
            <c:ext xmlns:c16="http://schemas.microsoft.com/office/drawing/2014/chart" uri="{C3380CC4-5D6E-409C-BE32-E72D297353CC}">
              <c16:uniqueId val="{00000014-5431-4F7C-974A-9980F580E6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[HospitalAdmission.xlsx]Sheet2!PivotTable2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Admissions by County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50000"/>
            </a:schemeClr>
          </a:solidFill>
          <a:ln>
            <a:noFill/>
          </a:ln>
          <a:effectLst/>
        </c:spPr>
      </c:pivotFmt>
      <c:pivotFmt>
        <c:idx val="5"/>
        <c:spPr>
          <a:solidFill>
            <a:schemeClr val="accent4">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6">
              <a:lumMod val="75000"/>
            </a:schemeClr>
          </a:solidFill>
          <a:ln>
            <a:noFill/>
          </a:ln>
          <a:effectLst/>
        </c:spPr>
      </c:pivotFmt>
      <c:pivotFmt>
        <c:idx val="8"/>
        <c:spPr>
          <a:solidFill>
            <a:srgbClr val="FFC000"/>
          </a:solidFill>
          <a:ln>
            <a:noFill/>
          </a:ln>
          <a:effectLst/>
        </c:spPr>
      </c:pivotFmt>
      <c:pivotFmt>
        <c:idx val="9"/>
        <c:spPr>
          <a:solidFill>
            <a:schemeClr val="bg2">
              <a:lumMod val="10000"/>
            </a:schemeClr>
          </a:solidFill>
          <a:ln>
            <a:noFill/>
          </a:ln>
          <a:effectLst/>
        </c:spPr>
      </c:pivotFmt>
      <c:pivotFmt>
        <c:idx val="10"/>
        <c:spPr>
          <a:solidFill>
            <a:schemeClr val="bg1">
              <a:lumMod val="85000"/>
            </a:schemeClr>
          </a:solidFill>
          <a:ln>
            <a:noFill/>
          </a:ln>
          <a:effectLst/>
        </c:spPr>
      </c:pivotFmt>
      <c:pivotFmt>
        <c:idx val="11"/>
        <c:spPr>
          <a:solidFill>
            <a:srgbClr val="C00000"/>
          </a:solidFill>
          <a:ln>
            <a:noFill/>
          </a:ln>
          <a:effectLst/>
        </c:spPr>
      </c:pivotFmt>
      <c:pivotFmt>
        <c:idx val="12"/>
        <c:spPr>
          <a:solidFill>
            <a:srgbClr val="00B050"/>
          </a:solidFill>
          <a:ln>
            <a:noFill/>
          </a:ln>
          <a:effectLst/>
        </c:spPr>
      </c:pivotFmt>
      <c:pivotFmt>
        <c:idx val="13"/>
        <c:spPr>
          <a:solidFill>
            <a:schemeClr val="accent3">
              <a:lumMod val="40000"/>
              <a:lumOff val="60000"/>
            </a:schemeClr>
          </a:solidFill>
          <a:ln>
            <a:noFill/>
          </a:ln>
          <a:effectLst/>
        </c:spPr>
      </c:pivotFmt>
      <c:pivotFmt>
        <c:idx val="14"/>
        <c:spPr>
          <a:solidFill>
            <a:schemeClr val="bg1">
              <a:lumMod val="50000"/>
            </a:schemeClr>
          </a:solidFill>
          <a:ln>
            <a:noFill/>
          </a:ln>
          <a:effectLst/>
        </c:spPr>
      </c:pivotFmt>
      <c:pivotFmt>
        <c:idx val="15"/>
        <c:spPr>
          <a:solidFill>
            <a:schemeClr val="tx2">
              <a:lumMod val="50000"/>
            </a:schemeClr>
          </a:solidFill>
          <a:ln>
            <a:noFill/>
          </a:ln>
          <a:effectLst/>
        </c:spPr>
      </c:pivotFmt>
      <c:pivotFmt>
        <c:idx val="16"/>
        <c:spPr>
          <a:solidFill>
            <a:schemeClr val="accent4">
              <a:lumMod val="60000"/>
              <a:lumOff val="40000"/>
            </a:schemeClr>
          </a:solidFill>
          <a:ln>
            <a:noFill/>
          </a:ln>
          <a:effectLst/>
        </c:spPr>
      </c:pivotFmt>
      <c:pivotFmt>
        <c:idx val="17"/>
        <c:spPr>
          <a:solidFill>
            <a:schemeClr val="accent5"/>
          </a:solidFill>
          <a:ln>
            <a:noFill/>
          </a:ln>
          <a:effectLst/>
        </c:spPr>
      </c:pivotFmt>
      <c:pivotFmt>
        <c:idx val="18"/>
        <c:spPr>
          <a:solidFill>
            <a:schemeClr val="accent6"/>
          </a:solidFill>
          <a:ln>
            <a:noFill/>
          </a:ln>
          <a:effectLst/>
        </c:spPr>
      </c:pivotFmt>
      <c:pivotFmt>
        <c:idx val="19"/>
        <c:spPr>
          <a:solidFill>
            <a:schemeClr val="accent5">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tx2">
              <a:lumMod val="40000"/>
              <a:lumOff val="60000"/>
            </a:schemeClr>
          </a:solidFill>
          <a:ln>
            <a:noFill/>
          </a:ln>
          <a:effectLst/>
        </c:spPr>
      </c:pivotFmt>
      <c:pivotFmt>
        <c:idx val="23"/>
        <c:spPr>
          <a:solidFill>
            <a:srgbClr val="00B0F0"/>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2">
              <a:lumMod val="5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50000"/>
            </a:schemeClr>
          </a:solidFill>
          <a:ln>
            <a:noFill/>
          </a:ln>
          <a:effectLst/>
        </c:spPr>
      </c:pivotFmt>
      <c:pivotFmt>
        <c:idx val="29"/>
        <c:spPr>
          <a:solidFill>
            <a:schemeClr val="accent4">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6">
              <a:lumMod val="75000"/>
            </a:schemeClr>
          </a:solidFill>
          <a:ln>
            <a:noFill/>
          </a:ln>
          <a:effectLst/>
        </c:spPr>
      </c:pivotFmt>
      <c:pivotFmt>
        <c:idx val="32"/>
        <c:spPr>
          <a:solidFill>
            <a:srgbClr val="FFC000"/>
          </a:solidFill>
          <a:ln>
            <a:noFill/>
          </a:ln>
          <a:effectLst/>
        </c:spPr>
      </c:pivotFmt>
      <c:pivotFmt>
        <c:idx val="33"/>
        <c:spPr>
          <a:solidFill>
            <a:schemeClr val="bg2">
              <a:lumMod val="10000"/>
            </a:schemeClr>
          </a:solidFill>
          <a:ln>
            <a:noFill/>
          </a:ln>
          <a:effectLst/>
        </c:spPr>
      </c:pivotFmt>
      <c:pivotFmt>
        <c:idx val="34"/>
        <c:spPr>
          <a:solidFill>
            <a:schemeClr val="bg1">
              <a:lumMod val="85000"/>
            </a:schemeClr>
          </a:solidFill>
          <a:ln>
            <a:noFill/>
          </a:ln>
          <a:effectLst/>
        </c:spPr>
      </c:pivotFmt>
      <c:pivotFmt>
        <c:idx val="35"/>
        <c:spPr>
          <a:solidFill>
            <a:srgbClr val="C00000"/>
          </a:solidFill>
          <a:ln>
            <a:noFill/>
          </a:ln>
          <a:effectLst/>
        </c:spPr>
      </c:pivotFmt>
      <c:pivotFmt>
        <c:idx val="36"/>
        <c:spPr>
          <a:solidFill>
            <a:srgbClr val="00B050"/>
          </a:solidFill>
          <a:ln>
            <a:noFill/>
          </a:ln>
          <a:effectLst/>
        </c:spPr>
      </c:pivotFmt>
      <c:pivotFmt>
        <c:idx val="37"/>
        <c:spPr>
          <a:solidFill>
            <a:schemeClr val="accent3">
              <a:lumMod val="40000"/>
              <a:lumOff val="60000"/>
            </a:schemeClr>
          </a:solidFill>
          <a:ln>
            <a:noFill/>
          </a:ln>
          <a:effectLst/>
        </c:spPr>
      </c:pivotFmt>
      <c:pivotFmt>
        <c:idx val="38"/>
        <c:spPr>
          <a:solidFill>
            <a:schemeClr val="bg1">
              <a:lumMod val="50000"/>
            </a:schemeClr>
          </a:solidFill>
          <a:ln>
            <a:noFill/>
          </a:ln>
          <a:effectLst/>
        </c:spPr>
      </c:pivotFmt>
      <c:pivotFmt>
        <c:idx val="39"/>
        <c:spPr>
          <a:solidFill>
            <a:schemeClr val="tx2">
              <a:lumMod val="50000"/>
            </a:schemeClr>
          </a:solidFill>
          <a:ln>
            <a:noFill/>
          </a:ln>
          <a:effectLst/>
        </c:spPr>
      </c:pivotFmt>
      <c:pivotFmt>
        <c:idx val="40"/>
        <c:spPr>
          <a:solidFill>
            <a:schemeClr val="accent4">
              <a:lumMod val="60000"/>
              <a:lumOff val="40000"/>
            </a:schemeClr>
          </a:solidFill>
          <a:ln>
            <a:noFill/>
          </a:ln>
          <a:effectLst/>
        </c:spPr>
      </c:pivotFmt>
      <c:pivotFmt>
        <c:idx val="41"/>
        <c:spPr>
          <a:solidFill>
            <a:schemeClr val="accent5"/>
          </a:solidFill>
          <a:ln>
            <a:noFill/>
          </a:ln>
          <a:effectLst/>
        </c:spPr>
      </c:pivotFmt>
      <c:pivotFmt>
        <c:idx val="42"/>
        <c:spPr>
          <a:solidFill>
            <a:schemeClr val="accent6"/>
          </a:solidFill>
          <a:ln>
            <a:noFill/>
          </a:ln>
          <a:effectLst/>
        </c:spPr>
      </c:pivotFmt>
      <c:pivotFmt>
        <c:idx val="43"/>
        <c:spPr>
          <a:solidFill>
            <a:schemeClr val="accent5">
              <a:lumMod val="75000"/>
            </a:schemeClr>
          </a:solidFill>
          <a:ln>
            <a:noFill/>
          </a:ln>
          <a:effectLst/>
        </c:spPr>
      </c:pivotFmt>
      <c:pivotFmt>
        <c:idx val="44"/>
        <c:spPr>
          <a:solidFill>
            <a:schemeClr val="accent6">
              <a:lumMod val="75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tx2">
              <a:lumMod val="40000"/>
              <a:lumOff val="60000"/>
            </a:schemeClr>
          </a:solidFill>
          <a:ln>
            <a:noFill/>
          </a:ln>
          <a:effectLst/>
        </c:spPr>
      </c:pivotFmt>
      <c:pivotFmt>
        <c:idx val="47"/>
        <c:spPr>
          <a:solidFill>
            <a:srgbClr val="00B0F0"/>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bg2">
              <a:lumMod val="50000"/>
            </a:schemeClr>
          </a:solidFill>
          <a:ln>
            <a:noFill/>
          </a:ln>
          <a:effectLst/>
        </c:spPr>
      </c:pivotFmt>
      <c:pivotFmt>
        <c:idx val="50"/>
        <c:spPr>
          <a:solidFill>
            <a:schemeClr val="accent1">
              <a:lumMod val="60000"/>
              <a:lumOff val="40000"/>
            </a:schemeClr>
          </a:solidFill>
          <a:ln>
            <a:noFill/>
          </a:ln>
          <a:effectLst/>
        </c:spPr>
      </c:pivotFmt>
      <c:pivotFmt>
        <c:idx val="51"/>
        <c:spPr>
          <a:solidFill>
            <a:schemeClr val="accent2">
              <a:lumMod val="60000"/>
              <a:lumOff val="40000"/>
            </a:schemeClr>
          </a:solidFill>
          <a:ln>
            <a:noFill/>
          </a:ln>
          <a:effectLst/>
        </c:spPr>
      </c:pivotFmt>
      <c:pivotFmt>
        <c:idx val="52"/>
        <c:spPr>
          <a:solidFill>
            <a:schemeClr val="accent2">
              <a:lumMod val="50000"/>
            </a:schemeClr>
          </a:solidFill>
          <a:ln>
            <a:noFill/>
          </a:ln>
          <a:effectLst/>
        </c:spPr>
      </c:pivotFmt>
      <c:pivotFmt>
        <c:idx val="53"/>
        <c:spPr>
          <a:solidFill>
            <a:schemeClr val="accent4">
              <a:lumMod val="75000"/>
            </a:schemeClr>
          </a:solidFill>
          <a:ln>
            <a:noFill/>
          </a:ln>
          <a:effectLst/>
        </c:spPr>
      </c:pivotFmt>
      <c:pivotFmt>
        <c:idx val="54"/>
        <c:spPr>
          <a:solidFill>
            <a:schemeClr val="accent5">
              <a:lumMod val="75000"/>
            </a:schemeClr>
          </a:solidFill>
          <a:ln>
            <a:noFill/>
          </a:ln>
          <a:effectLst/>
        </c:spPr>
      </c:pivotFmt>
      <c:pivotFmt>
        <c:idx val="55"/>
        <c:spPr>
          <a:solidFill>
            <a:schemeClr val="accent6">
              <a:lumMod val="75000"/>
            </a:schemeClr>
          </a:solidFill>
          <a:ln>
            <a:noFill/>
          </a:ln>
          <a:effectLst/>
        </c:spPr>
      </c:pivotFmt>
      <c:pivotFmt>
        <c:idx val="56"/>
        <c:spPr>
          <a:solidFill>
            <a:srgbClr val="FFC000"/>
          </a:solidFill>
          <a:ln>
            <a:noFill/>
          </a:ln>
          <a:effectLst/>
        </c:spPr>
      </c:pivotFmt>
      <c:pivotFmt>
        <c:idx val="57"/>
        <c:spPr>
          <a:solidFill>
            <a:schemeClr val="bg2">
              <a:lumMod val="10000"/>
            </a:schemeClr>
          </a:solidFill>
          <a:ln>
            <a:noFill/>
          </a:ln>
          <a:effectLst/>
        </c:spPr>
      </c:pivotFmt>
      <c:pivotFmt>
        <c:idx val="58"/>
        <c:spPr>
          <a:solidFill>
            <a:schemeClr val="bg1">
              <a:lumMod val="85000"/>
            </a:schemeClr>
          </a:solidFill>
          <a:ln>
            <a:noFill/>
          </a:ln>
          <a:effectLst/>
        </c:spPr>
      </c:pivotFmt>
      <c:pivotFmt>
        <c:idx val="59"/>
        <c:spPr>
          <a:solidFill>
            <a:srgbClr val="C00000"/>
          </a:solidFill>
          <a:ln>
            <a:noFill/>
          </a:ln>
          <a:effectLst/>
        </c:spPr>
      </c:pivotFmt>
      <c:pivotFmt>
        <c:idx val="60"/>
        <c:spPr>
          <a:solidFill>
            <a:srgbClr val="00B050"/>
          </a:solidFill>
          <a:ln>
            <a:noFill/>
          </a:ln>
          <a:effectLst/>
        </c:spPr>
      </c:pivotFmt>
      <c:pivotFmt>
        <c:idx val="61"/>
        <c:spPr>
          <a:solidFill>
            <a:schemeClr val="accent3">
              <a:lumMod val="40000"/>
              <a:lumOff val="60000"/>
            </a:schemeClr>
          </a:solidFill>
          <a:ln>
            <a:noFill/>
          </a:ln>
          <a:effectLst/>
        </c:spPr>
      </c:pivotFmt>
      <c:pivotFmt>
        <c:idx val="62"/>
        <c:spPr>
          <a:solidFill>
            <a:schemeClr val="bg1">
              <a:lumMod val="50000"/>
            </a:schemeClr>
          </a:solidFill>
          <a:ln>
            <a:noFill/>
          </a:ln>
          <a:effectLst/>
        </c:spPr>
      </c:pivotFmt>
      <c:pivotFmt>
        <c:idx val="63"/>
        <c:spPr>
          <a:solidFill>
            <a:schemeClr val="tx2">
              <a:lumMod val="50000"/>
            </a:schemeClr>
          </a:solidFill>
          <a:ln>
            <a:noFill/>
          </a:ln>
          <a:effectLst/>
        </c:spPr>
      </c:pivotFmt>
      <c:pivotFmt>
        <c:idx val="64"/>
        <c:spPr>
          <a:solidFill>
            <a:schemeClr val="accent4">
              <a:lumMod val="60000"/>
              <a:lumOff val="40000"/>
            </a:schemeClr>
          </a:solidFill>
          <a:ln>
            <a:noFill/>
          </a:ln>
          <a:effectLst/>
        </c:spPr>
      </c:pivotFmt>
      <c:pivotFmt>
        <c:idx val="65"/>
        <c:spPr>
          <a:solidFill>
            <a:schemeClr val="accent5"/>
          </a:solidFill>
          <a:ln>
            <a:noFill/>
          </a:ln>
          <a:effectLst/>
        </c:spPr>
      </c:pivotFmt>
      <c:pivotFmt>
        <c:idx val="66"/>
        <c:spPr>
          <a:solidFill>
            <a:schemeClr val="accent6"/>
          </a:solidFill>
          <a:ln>
            <a:noFill/>
          </a:ln>
          <a:effectLst/>
        </c:spPr>
      </c:pivotFmt>
      <c:pivotFmt>
        <c:idx val="67"/>
        <c:spPr>
          <a:solidFill>
            <a:schemeClr val="accent5">
              <a:lumMod val="75000"/>
            </a:schemeClr>
          </a:solidFill>
          <a:ln>
            <a:noFill/>
          </a:ln>
          <a:effectLst/>
        </c:spPr>
      </c:pivotFmt>
      <c:pivotFmt>
        <c:idx val="68"/>
        <c:spPr>
          <a:solidFill>
            <a:schemeClr val="accent6">
              <a:lumMod val="75000"/>
            </a:schemeClr>
          </a:solidFill>
          <a:ln>
            <a:noFill/>
          </a:ln>
          <a:effectLst/>
        </c:spPr>
      </c:pivotFmt>
      <c:pivotFmt>
        <c:idx val="69"/>
        <c:spPr>
          <a:solidFill>
            <a:schemeClr val="accent6">
              <a:lumMod val="60000"/>
              <a:lumOff val="40000"/>
            </a:schemeClr>
          </a:solidFill>
          <a:ln>
            <a:noFill/>
          </a:ln>
          <a:effectLst/>
        </c:spPr>
      </c:pivotFmt>
      <c:pivotFmt>
        <c:idx val="70"/>
        <c:spPr>
          <a:solidFill>
            <a:schemeClr val="tx2">
              <a:lumMod val="40000"/>
              <a:lumOff val="60000"/>
            </a:schemeClr>
          </a:solidFill>
          <a:ln>
            <a:noFill/>
          </a:ln>
          <a:effectLst/>
        </c:spPr>
      </c:pivotFmt>
      <c:pivotFmt>
        <c:idx val="71"/>
        <c:spPr>
          <a:solidFill>
            <a:srgbClr val="00B0F0"/>
          </a:solidFill>
          <a:ln>
            <a:noFill/>
          </a:ln>
          <a:effectLst/>
        </c:spP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8792-46B7-81C9-CF58194FC3E3}"/>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8792-46B7-81C9-CF58194FC3E3}"/>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8792-46B7-81C9-CF58194FC3E3}"/>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7-8792-46B7-81C9-CF58194FC3E3}"/>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9-8792-46B7-81C9-CF58194FC3E3}"/>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B-8792-46B7-81C9-CF58194FC3E3}"/>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D-8792-46B7-81C9-CF58194FC3E3}"/>
              </c:ext>
            </c:extLst>
          </c:dPt>
          <c:dPt>
            <c:idx val="7"/>
            <c:invertIfNegative val="0"/>
            <c:bubble3D val="0"/>
            <c:spPr>
              <a:solidFill>
                <a:srgbClr val="FFC000"/>
              </a:solidFill>
              <a:ln>
                <a:noFill/>
              </a:ln>
              <a:effectLst/>
            </c:spPr>
            <c:extLst>
              <c:ext xmlns:c16="http://schemas.microsoft.com/office/drawing/2014/chart" uri="{C3380CC4-5D6E-409C-BE32-E72D297353CC}">
                <c16:uniqueId val="{0000000F-8792-46B7-81C9-CF58194FC3E3}"/>
              </c:ext>
            </c:extLst>
          </c:dPt>
          <c:dPt>
            <c:idx val="9"/>
            <c:invertIfNegative val="0"/>
            <c:bubble3D val="0"/>
            <c:spPr>
              <a:solidFill>
                <a:schemeClr val="bg2">
                  <a:lumMod val="10000"/>
                </a:schemeClr>
              </a:solidFill>
              <a:ln>
                <a:noFill/>
              </a:ln>
              <a:effectLst/>
            </c:spPr>
            <c:extLst>
              <c:ext xmlns:c16="http://schemas.microsoft.com/office/drawing/2014/chart" uri="{C3380CC4-5D6E-409C-BE32-E72D297353CC}">
                <c16:uniqueId val="{00000011-8792-46B7-81C9-CF58194FC3E3}"/>
              </c:ext>
            </c:extLst>
          </c:dPt>
          <c:dPt>
            <c:idx val="10"/>
            <c:invertIfNegative val="0"/>
            <c:bubble3D val="0"/>
            <c:spPr>
              <a:solidFill>
                <a:schemeClr val="bg1">
                  <a:lumMod val="85000"/>
                </a:schemeClr>
              </a:solidFill>
              <a:ln>
                <a:noFill/>
              </a:ln>
              <a:effectLst/>
            </c:spPr>
            <c:extLst>
              <c:ext xmlns:c16="http://schemas.microsoft.com/office/drawing/2014/chart" uri="{C3380CC4-5D6E-409C-BE32-E72D297353CC}">
                <c16:uniqueId val="{00000013-8792-46B7-81C9-CF58194FC3E3}"/>
              </c:ext>
            </c:extLst>
          </c:dPt>
          <c:dPt>
            <c:idx val="11"/>
            <c:invertIfNegative val="0"/>
            <c:bubble3D val="0"/>
            <c:spPr>
              <a:solidFill>
                <a:srgbClr val="C00000"/>
              </a:solidFill>
              <a:ln>
                <a:noFill/>
              </a:ln>
              <a:effectLst/>
            </c:spPr>
            <c:extLst>
              <c:ext xmlns:c16="http://schemas.microsoft.com/office/drawing/2014/chart" uri="{C3380CC4-5D6E-409C-BE32-E72D297353CC}">
                <c16:uniqueId val="{00000015-8792-46B7-81C9-CF58194FC3E3}"/>
              </c:ext>
            </c:extLst>
          </c:dPt>
          <c:dPt>
            <c:idx val="12"/>
            <c:invertIfNegative val="0"/>
            <c:bubble3D val="0"/>
            <c:spPr>
              <a:solidFill>
                <a:srgbClr val="00B050"/>
              </a:solidFill>
              <a:ln>
                <a:noFill/>
              </a:ln>
              <a:effectLst/>
            </c:spPr>
            <c:extLst>
              <c:ext xmlns:c16="http://schemas.microsoft.com/office/drawing/2014/chart" uri="{C3380CC4-5D6E-409C-BE32-E72D297353CC}">
                <c16:uniqueId val="{00000017-8792-46B7-81C9-CF58194FC3E3}"/>
              </c:ext>
            </c:extLst>
          </c:dPt>
          <c:dPt>
            <c:idx val="1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19-8792-46B7-81C9-CF58194FC3E3}"/>
              </c:ext>
            </c:extLst>
          </c:dPt>
          <c:dPt>
            <c:idx val="14"/>
            <c:invertIfNegative val="0"/>
            <c:bubble3D val="0"/>
            <c:spPr>
              <a:solidFill>
                <a:schemeClr val="bg1">
                  <a:lumMod val="50000"/>
                </a:schemeClr>
              </a:solidFill>
              <a:ln>
                <a:noFill/>
              </a:ln>
              <a:effectLst/>
            </c:spPr>
            <c:extLst>
              <c:ext xmlns:c16="http://schemas.microsoft.com/office/drawing/2014/chart" uri="{C3380CC4-5D6E-409C-BE32-E72D297353CC}">
                <c16:uniqueId val="{0000001B-8792-46B7-81C9-CF58194FC3E3}"/>
              </c:ext>
            </c:extLst>
          </c:dPt>
          <c:dPt>
            <c:idx val="15"/>
            <c:invertIfNegative val="0"/>
            <c:bubble3D val="0"/>
            <c:spPr>
              <a:solidFill>
                <a:schemeClr val="tx2">
                  <a:lumMod val="50000"/>
                </a:schemeClr>
              </a:solidFill>
              <a:ln>
                <a:noFill/>
              </a:ln>
              <a:effectLst/>
            </c:spPr>
            <c:extLst>
              <c:ext xmlns:c16="http://schemas.microsoft.com/office/drawing/2014/chart" uri="{C3380CC4-5D6E-409C-BE32-E72D297353CC}">
                <c16:uniqueId val="{0000001D-8792-46B7-81C9-CF58194FC3E3}"/>
              </c:ext>
            </c:extLst>
          </c:dPt>
          <c:dPt>
            <c:idx val="1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F-8792-46B7-81C9-CF58194FC3E3}"/>
              </c:ext>
            </c:extLst>
          </c:dPt>
          <c:dPt>
            <c:idx val="17"/>
            <c:invertIfNegative val="0"/>
            <c:bubble3D val="0"/>
            <c:spPr>
              <a:solidFill>
                <a:schemeClr val="accent5"/>
              </a:solidFill>
              <a:ln>
                <a:noFill/>
              </a:ln>
              <a:effectLst/>
            </c:spPr>
            <c:extLst>
              <c:ext xmlns:c16="http://schemas.microsoft.com/office/drawing/2014/chart" uri="{C3380CC4-5D6E-409C-BE32-E72D297353CC}">
                <c16:uniqueId val="{00000021-8792-46B7-81C9-CF58194FC3E3}"/>
              </c:ext>
            </c:extLst>
          </c:dPt>
          <c:dPt>
            <c:idx val="18"/>
            <c:invertIfNegative val="0"/>
            <c:bubble3D val="0"/>
            <c:spPr>
              <a:solidFill>
                <a:srgbClr val="00B0F0"/>
              </a:solidFill>
              <a:ln>
                <a:noFill/>
              </a:ln>
              <a:effectLst/>
            </c:spPr>
            <c:extLst>
              <c:ext xmlns:c16="http://schemas.microsoft.com/office/drawing/2014/chart" uri="{C3380CC4-5D6E-409C-BE32-E72D297353CC}">
                <c16:uniqueId val="{00000023-8792-46B7-81C9-CF58194FC3E3}"/>
              </c:ext>
            </c:extLst>
          </c:dPt>
          <c:dPt>
            <c:idx val="19"/>
            <c:invertIfNegative val="0"/>
            <c:bubble3D val="0"/>
            <c:spPr>
              <a:solidFill>
                <a:schemeClr val="accent5">
                  <a:lumMod val="75000"/>
                </a:schemeClr>
              </a:solidFill>
              <a:ln>
                <a:noFill/>
              </a:ln>
              <a:effectLst/>
            </c:spPr>
            <c:extLst>
              <c:ext xmlns:c16="http://schemas.microsoft.com/office/drawing/2014/chart" uri="{C3380CC4-5D6E-409C-BE32-E72D297353CC}">
                <c16:uniqueId val="{00000025-8792-46B7-81C9-CF58194FC3E3}"/>
              </c:ext>
            </c:extLst>
          </c:dPt>
          <c:dPt>
            <c:idx val="20"/>
            <c:invertIfNegative val="0"/>
            <c:bubble3D val="0"/>
            <c:spPr>
              <a:solidFill>
                <a:schemeClr val="accent6">
                  <a:lumMod val="75000"/>
                </a:schemeClr>
              </a:solidFill>
              <a:ln>
                <a:noFill/>
              </a:ln>
              <a:effectLst/>
            </c:spPr>
            <c:extLst>
              <c:ext xmlns:c16="http://schemas.microsoft.com/office/drawing/2014/chart" uri="{C3380CC4-5D6E-409C-BE32-E72D297353CC}">
                <c16:uniqueId val="{00000027-8792-46B7-81C9-CF58194FC3E3}"/>
              </c:ext>
            </c:extLst>
          </c:dPt>
          <c:dPt>
            <c:idx val="2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29-8792-46B7-81C9-CF58194FC3E3}"/>
              </c:ext>
            </c:extLst>
          </c:dPt>
          <c:dPt>
            <c:idx val="22"/>
            <c:invertIfNegative val="0"/>
            <c:bubble3D val="0"/>
            <c:spPr>
              <a:solidFill>
                <a:schemeClr val="accent6"/>
              </a:solidFill>
              <a:ln>
                <a:noFill/>
              </a:ln>
              <a:effectLst/>
            </c:spPr>
            <c:extLst>
              <c:ext xmlns:c16="http://schemas.microsoft.com/office/drawing/2014/chart" uri="{C3380CC4-5D6E-409C-BE32-E72D297353CC}">
                <c16:uniqueId val="{0000002B-8792-46B7-81C9-CF58194FC3E3}"/>
              </c:ext>
            </c:extLst>
          </c:dPt>
          <c:dPt>
            <c:idx val="2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2D-8792-46B7-81C9-CF58194FC3E3}"/>
              </c:ext>
            </c:extLst>
          </c:dPt>
          <c:cat>
            <c:strRef>
              <c:f>Sheet2!$A$4:$A$28</c:f>
              <c:strCache>
                <c:ptCount val="24"/>
                <c:pt idx="0">
                  <c:v>Crow Wing</c:v>
                </c:pt>
                <c:pt idx="1">
                  <c:v>St. Louis</c:v>
                </c:pt>
                <c:pt idx="2">
                  <c:v>Douglas</c:v>
                </c:pt>
                <c:pt idx="3">
                  <c:v>Anoka</c:v>
                </c:pt>
                <c:pt idx="4">
                  <c:v>Swift</c:v>
                </c:pt>
                <c:pt idx="5">
                  <c:v>Beltrami</c:v>
                </c:pt>
                <c:pt idx="6">
                  <c:v>Wright</c:v>
                </c:pt>
                <c:pt idx="7">
                  <c:v>Lac Qui Parle</c:v>
                </c:pt>
                <c:pt idx="8">
                  <c:v>Sibley</c:v>
                </c:pt>
                <c:pt idx="9">
                  <c:v>Norman</c:v>
                </c:pt>
                <c:pt idx="10">
                  <c:v>Faribault</c:v>
                </c:pt>
                <c:pt idx="11">
                  <c:v>Dakota</c:v>
                </c:pt>
                <c:pt idx="12">
                  <c:v>Freeborn</c:v>
                </c:pt>
                <c:pt idx="13">
                  <c:v>Lake Of The Woods</c:v>
                </c:pt>
                <c:pt idx="14">
                  <c:v>Wilkin</c:v>
                </c:pt>
                <c:pt idx="15">
                  <c:v>Polk</c:v>
                </c:pt>
                <c:pt idx="16">
                  <c:v>Yellow Medicine</c:v>
                </c:pt>
                <c:pt idx="17">
                  <c:v>Carlton</c:v>
                </c:pt>
                <c:pt idx="18">
                  <c:v>Isanti</c:v>
                </c:pt>
                <c:pt idx="19">
                  <c:v>Clearwater</c:v>
                </c:pt>
                <c:pt idx="20">
                  <c:v>Itasca</c:v>
                </c:pt>
                <c:pt idx="21">
                  <c:v>Goodhue</c:v>
                </c:pt>
                <c:pt idx="22">
                  <c:v>Aitkin</c:v>
                </c:pt>
                <c:pt idx="23">
                  <c:v>Hennepin</c:v>
                </c:pt>
              </c:strCache>
            </c:strRef>
          </c:cat>
          <c:val>
            <c:numRef>
              <c:f>Sheet2!$B$4:$B$28</c:f>
              <c:numCache>
                <c:formatCode>General</c:formatCode>
                <c:ptCount val="24"/>
                <c:pt idx="0">
                  <c:v>9</c:v>
                </c:pt>
                <c:pt idx="1">
                  <c:v>6</c:v>
                </c:pt>
                <c:pt idx="2">
                  <c:v>6</c:v>
                </c:pt>
                <c:pt idx="3">
                  <c:v>6</c:v>
                </c:pt>
                <c:pt idx="4">
                  <c:v>6</c:v>
                </c:pt>
                <c:pt idx="5">
                  <c:v>6</c:v>
                </c:pt>
                <c:pt idx="6">
                  <c:v>6</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2E-8792-46B7-81C9-CF58194FC3E3}"/>
            </c:ext>
          </c:extLst>
        </c:ser>
        <c:dLbls>
          <c:showLegendKey val="0"/>
          <c:showVal val="0"/>
          <c:showCatName val="0"/>
          <c:showSerName val="0"/>
          <c:showPercent val="0"/>
          <c:showBubbleSize val="0"/>
        </c:dLbls>
        <c:gapWidth val="219"/>
        <c:overlap val="-27"/>
        <c:axId val="636018736"/>
        <c:axId val="636019216"/>
      </c:barChart>
      <c:catAx>
        <c:axId val="6360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19216"/>
        <c:crosses val="autoZero"/>
        <c:auto val="1"/>
        <c:lblAlgn val="ctr"/>
        <c:lblOffset val="100"/>
        <c:noMultiLvlLbl val="0"/>
      </c:catAx>
      <c:valAx>
        <c:axId val="63601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838200</xdr:colOff>
      <xdr:row>12</xdr:row>
      <xdr:rowOff>19050</xdr:rowOff>
    </xdr:from>
    <xdr:to>
      <xdr:col>5</xdr:col>
      <xdr:colOff>266701</xdr:colOff>
      <xdr:row>33</xdr:row>
      <xdr:rowOff>9525</xdr:rowOff>
    </xdr:to>
    <xdr:graphicFrame macro="">
      <xdr:nvGraphicFramePr>
        <xdr:cNvPr id="2" name="Chart 1">
          <a:extLst>
            <a:ext uri="{FF2B5EF4-FFF2-40B4-BE49-F238E27FC236}">
              <a16:creationId xmlns:a16="http://schemas.microsoft.com/office/drawing/2014/main" id="{12DAF130-3723-3B1A-1A52-661AE00D4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561974</xdr:colOff>
      <xdr:row>7</xdr:row>
      <xdr:rowOff>95250</xdr:rowOff>
    </xdr:from>
    <xdr:to>
      <xdr:col>11</xdr:col>
      <xdr:colOff>390525</xdr:colOff>
      <xdr:row>27</xdr:row>
      <xdr:rowOff>9526</xdr:rowOff>
    </xdr:to>
    <xdr:graphicFrame macro="">
      <xdr:nvGraphicFramePr>
        <xdr:cNvPr id="2" name="Chart 1">
          <a:extLst>
            <a:ext uri="{FF2B5EF4-FFF2-40B4-BE49-F238E27FC236}">
              <a16:creationId xmlns:a16="http://schemas.microsoft.com/office/drawing/2014/main" id="{99B04BB3-B496-8728-D7F0-F6598C49B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xdr:colOff>
      <xdr:row>7</xdr:row>
      <xdr:rowOff>114300</xdr:rowOff>
    </xdr:from>
    <xdr:to>
      <xdr:col>14</xdr:col>
      <xdr:colOff>581025</xdr:colOff>
      <xdr:row>20</xdr:row>
      <xdr:rowOff>85725</xdr:rowOff>
    </xdr:to>
    <mc:AlternateContent xmlns:mc="http://schemas.openxmlformats.org/markup-compatibility/2006">
      <mc:Choice xmlns:a14="http://schemas.microsoft.com/office/drawing/2010/main" Requires="a14">
        <xdr:graphicFrame macro="">
          <xdr:nvGraphicFramePr>
            <xdr:cNvPr id="3" name="Qtr">
              <a:extLst>
                <a:ext uri="{FF2B5EF4-FFF2-40B4-BE49-F238E27FC236}">
                  <a16:creationId xmlns:a16="http://schemas.microsoft.com/office/drawing/2014/main" id="{13BF66F3-EBC7-311C-61B0-5CA9F9DA6F57}"/>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dr:sp macro="" textlink="">
          <xdr:nvSpPr>
            <xdr:cNvPr id="0" name=""/>
            <xdr:cNvSpPr>
              <a:spLocks noTextEdit="1"/>
            </xdr:cNvSpPr>
          </xdr:nvSpPr>
          <xdr:spPr>
            <a:xfrm>
              <a:off x="9115425" y="1247775"/>
              <a:ext cx="1762125"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85725</xdr:colOff>
      <xdr:row>7</xdr:row>
      <xdr:rowOff>57150</xdr:rowOff>
    </xdr:from>
    <xdr:to>
      <xdr:col>18</xdr:col>
      <xdr:colOff>85725</xdr:colOff>
      <xdr:row>22</xdr:row>
      <xdr:rowOff>9525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12797132-429A-FA6D-14E4-18A1F8CCAC3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991850" y="11906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314325</xdr:colOff>
      <xdr:row>22</xdr:row>
      <xdr:rowOff>152400</xdr:rowOff>
    </xdr:from>
    <xdr:to>
      <xdr:col>15</xdr:col>
      <xdr:colOff>314325</xdr:colOff>
      <xdr:row>37</xdr:row>
      <xdr:rowOff>104775</xdr:rowOff>
    </xdr:to>
    <mc:AlternateContent xmlns:mc="http://schemas.openxmlformats.org/markup-compatibility/2006">
      <mc:Choice xmlns:a14="http://schemas.microsoft.com/office/drawing/2010/main" Requires="a14">
        <xdr:graphicFrame macro="">
          <xdr:nvGraphicFramePr>
            <xdr:cNvPr id="6" name="Report Year End Date">
              <a:extLst>
                <a:ext uri="{FF2B5EF4-FFF2-40B4-BE49-F238E27FC236}">
                  <a16:creationId xmlns:a16="http://schemas.microsoft.com/office/drawing/2014/main" id="{98CE2BC9-DA42-73A7-3797-E6083FBFA867}"/>
                </a:ext>
              </a:extLst>
            </xdr:cNvPr>
            <xdr:cNvGraphicFramePr/>
          </xdr:nvGraphicFramePr>
          <xdr:xfrm>
            <a:off x="0" y="0"/>
            <a:ext cx="0" cy="0"/>
          </xdr:xfrm>
          <a:graphic>
            <a:graphicData uri="http://schemas.microsoft.com/office/drawing/2010/slicer">
              <sle:slicer xmlns:sle="http://schemas.microsoft.com/office/drawing/2010/slicer" name="Report Year End Date"/>
            </a:graphicData>
          </a:graphic>
        </xdr:graphicFrame>
      </mc:Choice>
      <mc:Fallback>
        <xdr:sp macro="" textlink="">
          <xdr:nvSpPr>
            <xdr:cNvPr id="0" name=""/>
            <xdr:cNvSpPr>
              <a:spLocks noTextEdit="1"/>
            </xdr:cNvSpPr>
          </xdr:nvSpPr>
          <xdr:spPr>
            <a:xfrm>
              <a:off x="9391650" y="37147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5</xdr:row>
      <xdr:rowOff>47624</xdr:rowOff>
    </xdr:from>
    <xdr:to>
      <xdr:col>11</xdr:col>
      <xdr:colOff>533400</xdr:colOff>
      <xdr:row>24</xdr:row>
      <xdr:rowOff>161924</xdr:rowOff>
    </xdr:to>
    <xdr:graphicFrame macro="">
      <xdr:nvGraphicFramePr>
        <xdr:cNvPr id="2" name="Chart 1">
          <a:extLst>
            <a:ext uri="{FF2B5EF4-FFF2-40B4-BE49-F238E27FC236}">
              <a16:creationId xmlns:a16="http://schemas.microsoft.com/office/drawing/2014/main" id="{6854CE8A-0B19-8063-0124-F994DBD38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542925</xdr:colOff>
      <xdr:row>13</xdr:row>
      <xdr:rowOff>57150</xdr:rowOff>
    </xdr:from>
    <xdr:to>
      <xdr:col>11</xdr:col>
      <xdr:colOff>238125</xdr:colOff>
      <xdr:row>30</xdr:row>
      <xdr:rowOff>47625</xdr:rowOff>
    </xdr:to>
    <xdr:graphicFrame macro="">
      <xdr:nvGraphicFramePr>
        <xdr:cNvPr id="2" name="Chart 1">
          <a:extLst>
            <a:ext uri="{FF2B5EF4-FFF2-40B4-BE49-F238E27FC236}">
              <a16:creationId xmlns:a16="http://schemas.microsoft.com/office/drawing/2014/main" id="{8B798109-6F2D-D514-9FCF-38776DECA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600074</xdr:colOff>
      <xdr:row>0</xdr:row>
      <xdr:rowOff>9526</xdr:rowOff>
    </xdr:from>
    <xdr:to>
      <xdr:col>9</xdr:col>
      <xdr:colOff>238125</xdr:colOff>
      <xdr:row>3</xdr:row>
      <xdr:rowOff>152401</xdr:rowOff>
    </xdr:to>
    <xdr:sp macro="" textlink="">
      <xdr:nvSpPr>
        <xdr:cNvPr id="2" name="TextBox 1">
          <a:extLst>
            <a:ext uri="{FF2B5EF4-FFF2-40B4-BE49-F238E27FC236}">
              <a16:creationId xmlns:a16="http://schemas.microsoft.com/office/drawing/2014/main" id="{C2517BA7-17D6-ECAC-3157-C827A34696C1}"/>
            </a:ext>
          </a:extLst>
        </xdr:cNvPr>
        <xdr:cNvSpPr txBox="1"/>
      </xdr:nvSpPr>
      <xdr:spPr>
        <a:xfrm>
          <a:off x="600074" y="9526"/>
          <a:ext cx="5124451" cy="62865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t>Healthcare Admissions Performance Dashboard (2023–2025)</a:t>
          </a:r>
          <a:endParaRPr lang="en-US" sz="1800"/>
        </a:p>
        <a:p>
          <a:endParaRPr lang="en-US" sz="1100"/>
        </a:p>
      </xdr:txBody>
    </xdr:sp>
    <xdr:clientData/>
  </xdr:twoCellAnchor>
  <xdr:twoCellAnchor>
    <xdr:from>
      <xdr:col>3</xdr:col>
      <xdr:colOff>371475</xdr:colOff>
      <xdr:row>4</xdr:row>
      <xdr:rowOff>19050</xdr:rowOff>
    </xdr:from>
    <xdr:to>
      <xdr:col>11</xdr:col>
      <xdr:colOff>600076</xdr:colOff>
      <xdr:row>25</xdr:row>
      <xdr:rowOff>9525</xdr:rowOff>
    </xdr:to>
    <xdr:graphicFrame macro="">
      <xdr:nvGraphicFramePr>
        <xdr:cNvPr id="4" name="Chart 3">
          <a:extLst>
            <a:ext uri="{FF2B5EF4-FFF2-40B4-BE49-F238E27FC236}">
              <a16:creationId xmlns:a16="http://schemas.microsoft.com/office/drawing/2014/main" id="{4F869FF9-29B9-4925-992E-28A5CE266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257174</xdr:colOff>
      <xdr:row>4</xdr:row>
      <xdr:rowOff>19050</xdr:rowOff>
    </xdr:from>
    <xdr:to>
      <xdr:col>22</xdr:col>
      <xdr:colOff>419099</xdr:colOff>
      <xdr:row>24</xdr:row>
      <xdr:rowOff>133350</xdr:rowOff>
    </xdr:to>
    <xdr:graphicFrame macro="">
      <xdr:nvGraphicFramePr>
        <xdr:cNvPr id="5" name="Chart 4">
          <a:extLst>
            <a:ext uri="{FF2B5EF4-FFF2-40B4-BE49-F238E27FC236}">
              <a16:creationId xmlns:a16="http://schemas.microsoft.com/office/drawing/2014/main" id="{701A082F-AA8B-4E27-B0FD-A88ECF41D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25</xdr:row>
      <xdr:rowOff>57151</xdr:rowOff>
    </xdr:from>
    <xdr:to>
      <xdr:col>12</xdr:col>
      <xdr:colOff>28575</xdr:colOff>
      <xdr:row>42</xdr:row>
      <xdr:rowOff>142876</xdr:rowOff>
    </xdr:to>
    <xdr:graphicFrame macro="">
      <xdr:nvGraphicFramePr>
        <xdr:cNvPr id="6" name="Chart 5">
          <a:extLst>
            <a:ext uri="{FF2B5EF4-FFF2-40B4-BE49-F238E27FC236}">
              <a16:creationId xmlns:a16="http://schemas.microsoft.com/office/drawing/2014/main" id="{C059F080-97C0-4C28-8AD7-7EFADB3EF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228600</xdr:colOff>
      <xdr:row>25</xdr:row>
      <xdr:rowOff>38100</xdr:rowOff>
    </xdr:from>
    <xdr:to>
      <xdr:col>22</xdr:col>
      <xdr:colOff>419100</xdr:colOff>
      <xdr:row>43</xdr:row>
      <xdr:rowOff>85725</xdr:rowOff>
    </xdr:to>
    <xdr:graphicFrame macro="">
      <xdr:nvGraphicFramePr>
        <xdr:cNvPr id="7" name="Chart 6">
          <a:extLst>
            <a:ext uri="{FF2B5EF4-FFF2-40B4-BE49-F238E27FC236}">
              <a16:creationId xmlns:a16="http://schemas.microsoft.com/office/drawing/2014/main" id="{A20E9009-4778-40CB-8414-1ECB37E0D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304799</xdr:colOff>
      <xdr:row>0</xdr:row>
      <xdr:rowOff>104774</xdr:rowOff>
    </xdr:from>
    <xdr:ext cx="1628775" cy="593239"/>
    <xdr:sp macro="" textlink="">
      <xdr:nvSpPr>
        <xdr:cNvPr id="8" name="TextBox 7">
          <a:extLst>
            <a:ext uri="{FF2B5EF4-FFF2-40B4-BE49-F238E27FC236}">
              <a16:creationId xmlns:a16="http://schemas.microsoft.com/office/drawing/2014/main" id="{FA858EF4-2199-ECA2-76A3-76757DA29144}"/>
            </a:ext>
          </a:extLst>
        </xdr:cNvPr>
        <xdr:cNvSpPr txBox="1"/>
      </xdr:nvSpPr>
      <xdr:spPr>
        <a:xfrm>
          <a:off x="5791199" y="104774"/>
          <a:ext cx="1628775"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0" u="none" strike="noStrike">
              <a:solidFill>
                <a:schemeClr val="tx1"/>
              </a:solidFill>
              <a:effectLst/>
              <a:latin typeface="+mn-lt"/>
              <a:ea typeface="+mn-ea"/>
              <a:cs typeface="+mn-cs"/>
            </a:rPr>
            <a:t>Total Admission </a:t>
          </a:r>
          <a:r>
            <a:rPr lang="en-US" sz="1600" b="1">
              <a:effectLst/>
            </a:rPr>
            <a:t> </a:t>
          </a:r>
          <a:r>
            <a:rPr lang="en-US" sz="1600" b="1" i="0" u="none" strike="noStrike">
              <a:solidFill>
                <a:schemeClr val="accent6">
                  <a:lumMod val="50000"/>
                </a:schemeClr>
              </a:solidFill>
              <a:effectLst/>
              <a:latin typeface="+mn-lt"/>
              <a:ea typeface="+mn-ea"/>
              <a:cs typeface="+mn-cs"/>
            </a:rPr>
            <a:t>9938</a:t>
          </a:r>
          <a:r>
            <a:rPr lang="en-US" sz="1600" b="1">
              <a:solidFill>
                <a:schemeClr val="accent6">
                  <a:lumMod val="50000"/>
                </a:schemeClr>
              </a:solidFill>
              <a:effectLst/>
            </a:rPr>
            <a:t> </a:t>
          </a:r>
          <a:endParaRPr lang="en-US" sz="1600" b="1">
            <a:solidFill>
              <a:schemeClr val="accent6">
                <a:lumMod val="50000"/>
              </a:schemeClr>
            </a:solidFill>
          </a:endParaRPr>
        </a:p>
      </xdr:txBody>
    </xdr:sp>
    <xdr:clientData/>
  </xdr:oneCellAnchor>
  <xdr:twoCellAnchor editAs="oneCell">
    <xdr:from>
      <xdr:col>23</xdr:col>
      <xdr:colOff>0</xdr:colOff>
      <xdr:row>26</xdr:row>
      <xdr:rowOff>0</xdr:rowOff>
    </xdr:from>
    <xdr:to>
      <xdr:col>27</xdr:col>
      <xdr:colOff>104775</xdr:colOff>
      <xdr:row>27</xdr:row>
      <xdr:rowOff>9525</xdr:rowOff>
    </xdr:to>
    <xdr:pic>
      <xdr:nvPicPr>
        <xdr:cNvPr id="9" name="Picture 8">
          <a:extLst>
            <a:ext uri="{FF2B5EF4-FFF2-40B4-BE49-F238E27FC236}">
              <a16:creationId xmlns:a16="http://schemas.microsoft.com/office/drawing/2014/main" id="{BA8CAFBB-8ECA-2605-049F-BB46D7D80EA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011275" y="4210050"/>
          <a:ext cx="25431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85725</xdr:colOff>
      <xdr:row>0</xdr:row>
      <xdr:rowOff>85724</xdr:rowOff>
    </xdr:from>
    <xdr:ext cx="1457325" cy="561949"/>
    <xdr:sp macro="" textlink="">
      <xdr:nvSpPr>
        <xdr:cNvPr id="10" name="TextBox 9">
          <a:extLst>
            <a:ext uri="{FF2B5EF4-FFF2-40B4-BE49-F238E27FC236}">
              <a16:creationId xmlns:a16="http://schemas.microsoft.com/office/drawing/2014/main" id="{5E7525F3-424F-48DE-9A24-558EA939968E}"/>
            </a:ext>
          </a:extLst>
        </xdr:cNvPr>
        <xdr:cNvSpPr txBox="1"/>
      </xdr:nvSpPr>
      <xdr:spPr>
        <a:xfrm>
          <a:off x="7391400" y="85724"/>
          <a:ext cx="1457325"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0" u="none" strike="noStrike">
              <a:solidFill>
                <a:schemeClr val="tx1"/>
              </a:solidFill>
              <a:effectLst/>
              <a:latin typeface="+mn-lt"/>
              <a:ea typeface="+mn-ea"/>
              <a:cs typeface="+mn-cs"/>
            </a:rPr>
            <a:t>Total Hospital </a:t>
          </a:r>
          <a:r>
            <a:rPr lang="en-US" sz="1400" b="1" i="0" u="none" strike="noStrike">
              <a:solidFill>
                <a:schemeClr val="accent6">
                  <a:lumMod val="50000"/>
                </a:schemeClr>
              </a:solidFill>
              <a:effectLst/>
              <a:latin typeface="+mn-lt"/>
              <a:ea typeface="+mn-ea"/>
              <a:cs typeface="+mn-cs"/>
            </a:rPr>
            <a:t>8</a:t>
          </a:r>
          <a:r>
            <a:rPr lang="en-US" sz="1400" b="1">
              <a:solidFill>
                <a:schemeClr val="accent6">
                  <a:lumMod val="50000"/>
                </a:schemeClr>
              </a:solidFill>
              <a:effectLst/>
            </a:rPr>
            <a:t> </a:t>
          </a:r>
          <a:endParaRPr lang="en-US" sz="1400" b="1">
            <a:solidFill>
              <a:schemeClr val="accent6">
                <a:lumMod val="50000"/>
              </a:schemeClr>
            </a:solidFill>
          </a:endParaRPr>
        </a:p>
      </xdr:txBody>
    </xdr:sp>
    <xdr:clientData/>
  </xdr:oneCellAnchor>
  <xdr:twoCellAnchor editAs="oneCell">
    <xdr:from>
      <xdr:col>0</xdr:col>
      <xdr:colOff>323850</xdr:colOff>
      <xdr:row>4</xdr:row>
      <xdr:rowOff>57150</xdr:rowOff>
    </xdr:from>
    <xdr:to>
      <xdr:col>3</xdr:col>
      <xdr:colOff>323850</xdr:colOff>
      <xdr:row>14</xdr:row>
      <xdr:rowOff>28575</xdr:rowOff>
    </xdr:to>
    <mc:AlternateContent xmlns:mc="http://schemas.openxmlformats.org/markup-compatibility/2006">
      <mc:Choice xmlns:a14="http://schemas.microsoft.com/office/drawing/2010/main" Requires="a14">
        <xdr:graphicFrame macro="">
          <xdr:nvGraphicFramePr>
            <xdr:cNvPr id="11" name="Report Year End Date 1">
              <a:extLst>
                <a:ext uri="{FF2B5EF4-FFF2-40B4-BE49-F238E27FC236}">
                  <a16:creationId xmlns:a16="http://schemas.microsoft.com/office/drawing/2014/main" id="{91A24114-9639-47AB-931F-2803CE76D8B0}"/>
                </a:ext>
              </a:extLst>
            </xdr:cNvPr>
            <xdr:cNvGraphicFramePr/>
          </xdr:nvGraphicFramePr>
          <xdr:xfrm>
            <a:off x="0" y="0"/>
            <a:ext cx="0" cy="0"/>
          </xdr:xfrm>
          <a:graphic>
            <a:graphicData uri="http://schemas.microsoft.com/office/drawing/2010/slicer">
              <sle:slicer xmlns:sle="http://schemas.microsoft.com/office/drawing/2010/slicer" name="Report Year End Date 1"/>
            </a:graphicData>
          </a:graphic>
        </xdr:graphicFrame>
      </mc:Choice>
      <mc:Fallback>
        <xdr:sp macro="" textlink="">
          <xdr:nvSpPr>
            <xdr:cNvPr id="0" name=""/>
            <xdr:cNvSpPr>
              <a:spLocks noTextEdit="1"/>
            </xdr:cNvSpPr>
          </xdr:nvSpPr>
          <xdr:spPr>
            <a:xfrm>
              <a:off x="323850" y="704850"/>
              <a:ext cx="18288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14</xdr:row>
      <xdr:rowOff>95250</xdr:rowOff>
    </xdr:from>
    <xdr:to>
      <xdr:col>3</xdr:col>
      <xdr:colOff>323850</xdr:colOff>
      <xdr:row>29</xdr:row>
      <xdr:rowOff>47625</xdr:rowOff>
    </xdr:to>
    <mc:AlternateContent xmlns:mc="http://schemas.openxmlformats.org/markup-compatibility/2006">
      <mc:Choice xmlns:a14="http://schemas.microsoft.com/office/drawing/2010/main" Requires="a14">
        <xdr:graphicFrame macro="">
          <xdr:nvGraphicFramePr>
            <xdr:cNvPr id="12" name="City 1">
              <a:extLst>
                <a:ext uri="{FF2B5EF4-FFF2-40B4-BE49-F238E27FC236}">
                  <a16:creationId xmlns:a16="http://schemas.microsoft.com/office/drawing/2014/main" id="{C5755DD6-A498-4013-B357-46FCE2FDADC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23850" y="23622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29</xdr:row>
      <xdr:rowOff>85725</xdr:rowOff>
    </xdr:from>
    <xdr:to>
      <xdr:col>3</xdr:col>
      <xdr:colOff>276225</xdr:colOff>
      <xdr:row>44</xdr:row>
      <xdr:rowOff>38100</xdr:rowOff>
    </xdr:to>
    <mc:AlternateContent xmlns:mc="http://schemas.openxmlformats.org/markup-compatibility/2006">
      <mc:Choice xmlns:a14="http://schemas.microsoft.com/office/drawing/2010/main" Requires="a14">
        <xdr:graphicFrame macro="">
          <xdr:nvGraphicFramePr>
            <xdr:cNvPr id="13" name="Report Year End Date 2">
              <a:extLst>
                <a:ext uri="{FF2B5EF4-FFF2-40B4-BE49-F238E27FC236}">
                  <a16:creationId xmlns:a16="http://schemas.microsoft.com/office/drawing/2014/main" id="{BD8E28AD-4EEF-47A2-9556-B2A977E119B5}"/>
                </a:ext>
              </a:extLst>
            </xdr:cNvPr>
            <xdr:cNvGraphicFramePr/>
          </xdr:nvGraphicFramePr>
          <xdr:xfrm>
            <a:off x="0" y="0"/>
            <a:ext cx="0" cy="0"/>
          </xdr:xfrm>
          <a:graphic>
            <a:graphicData uri="http://schemas.microsoft.com/office/drawing/2010/slicer">
              <sle:slicer xmlns:sle="http://schemas.microsoft.com/office/drawing/2010/slicer" name="Report Year End Date 2"/>
            </a:graphicData>
          </a:graphic>
        </xdr:graphicFrame>
      </mc:Choice>
      <mc:Fallback>
        <xdr:sp macro="" textlink="">
          <xdr:nvSpPr>
            <xdr:cNvPr id="0" name=""/>
            <xdr:cNvSpPr>
              <a:spLocks noTextEdit="1"/>
            </xdr:cNvSpPr>
          </xdr:nvSpPr>
          <xdr:spPr>
            <a:xfrm>
              <a:off x="276225" y="47815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admin" refreshedDate="46160.827852083334" createdVersion="8" refreshedVersion="8" minRefreshableVersion="3" recordCount="97" xr:uid="{130FEFE2-DB0B-4E71-ABC5-F0DCD44EE498}">
  <cacheSource type="worksheet">
    <worksheetSource name="Table1"/>
  </cacheSource>
  <cacheFields count="9">
    <cacheField name="Hospital Name" numFmtId="0">
      <sharedItems containsBlank="1" count="8">
        <m/>
        <s v="Essentia Health Ada"/>
        <s v="Riverwood Healthcare Center"/>
        <s v="Appleton Area Health"/>
        <s v="Alomere Health"/>
        <s v="Ridgeview Sibley Medical Center"/>
        <s v="Essentia Health Northern Pines"/>
        <s v="Sanford Bagley Medical Center"/>
      </sharedItems>
    </cacheField>
    <cacheField name="Affiliation" numFmtId="0">
      <sharedItems containsBlank="1" count="11">
        <m/>
        <s v="Essentia Health"/>
        <s v="No Affiliation"/>
        <s v="Mayo Clinic"/>
        <s v="Dept of Human Services, State of MN"/>
        <s v="Ridgeview Medical Center"/>
        <s v="Sanford Health"/>
        <s v="CentraCare Health System"/>
        <s v="Catholic Health Initiatives"/>
        <s v="Allina Health System"/>
        <s v="M Health Fairview"/>
      </sharedItems>
    </cacheField>
    <cacheField name="City" numFmtId="0">
      <sharedItems containsBlank="1" count="31">
        <m/>
        <s v="Ada"/>
        <s v="Aitkin"/>
        <s v="Albert Lea"/>
        <s v="Alexandria"/>
        <s v="Annandale"/>
        <s v="Anoka"/>
        <s v="Appleton"/>
        <s v="Arlington"/>
        <s v="Aurora"/>
        <s v="Bagley"/>
        <s v="Baudette"/>
        <s v="Baxter"/>
        <s v="Bemidji"/>
        <s v="Benson"/>
        <s v="Bigfork"/>
        <s v="Blue Earth"/>
        <s v="Brainerd"/>
        <s v="Breckenridge"/>
        <s v="Brooklyn Park"/>
        <s v="Buffalo"/>
        <s v="Burnsville"/>
        <s v="Cambridge"/>
        <s v="Canby"/>
        <s v="Cannon Falls"/>
        <s v="Cloquet"/>
        <s v="Cook"/>
        <s v="Coon Rapids"/>
        <s v="Crookston"/>
        <s v="Crosby"/>
        <s v="Dawson"/>
      </sharedItems>
    </cacheField>
    <cacheField name="County" numFmtId="0">
      <sharedItems containsBlank="1" count="25">
        <m/>
        <s v="Norman"/>
        <s v="Aitkin"/>
        <s v="Freeborn"/>
        <s v="Douglas"/>
        <s v="Wright"/>
        <s v="Anoka"/>
        <s v="Swift"/>
        <s v="Sibley"/>
        <s v="St. Louis"/>
        <s v="Clearwater"/>
        <s v="Lake Of The Woods"/>
        <s v="Crow Wing"/>
        <s v="Beltrami"/>
        <s v="Itasca"/>
        <s v="Faribault"/>
        <s v="Wilkin"/>
        <s v="Hennepin"/>
        <s v="Dakota"/>
        <s v="Isanti"/>
        <s v="Yellow Medicine"/>
        <s v="Goodhue"/>
        <s v="Carlton"/>
        <s v="Polk"/>
        <s v="Lac Qui Parle"/>
      </sharedItems>
    </cacheField>
    <cacheField name="Qtr" numFmtId="0">
      <sharedItems containsString="0" containsBlank="1" containsNumber="1" containsInteger="1" minValue="1" maxValue="4" count="5">
        <m/>
        <n v="1"/>
        <n v="2"/>
        <n v="3"/>
        <n v="4"/>
      </sharedItems>
    </cacheField>
    <cacheField name="Quarter" numFmtId="0">
      <sharedItems/>
    </cacheField>
    <cacheField name="Report Year End Date" numFmtId="0">
      <sharedItems containsString="0" containsBlank="1" containsNumber="1" containsInteger="1" minValue="2023" maxValue="2025" count="4">
        <m/>
        <n v="2023"/>
        <n v="2024"/>
        <n v="2025"/>
      </sharedItems>
    </cacheField>
    <cacheField name="Cleaned admission" numFmtId="0">
      <sharedItems containsMixedTypes="1" containsNumber="1" containsInteger="1" minValue="10" maxValue="1700"/>
    </cacheField>
    <cacheField name="Admission" numFmtId="0">
      <sharedItems containsMixedTypes="1" containsNumber="1" containsInteger="1" minValue="10" maxValue="1700"/>
    </cacheField>
  </cacheFields>
  <extLst>
    <ext xmlns:x14="http://schemas.microsoft.com/office/spreadsheetml/2009/9/main" uri="{725AE2AE-9491-48be-B2B4-4EB974FC3084}">
      <x14:pivotCacheDefinition pivotCacheId="1825119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x v="0"/>
    <x v="0"/>
    <x v="0"/>
    <x v="0"/>
    <s v="Q"/>
    <x v="0"/>
    <e v="#VALUE!"/>
    <s v="(#4504)"/>
  </r>
  <r>
    <x v="1"/>
    <x v="1"/>
    <x v="1"/>
    <x v="1"/>
    <x v="1"/>
    <s v="Q1"/>
    <x v="1"/>
    <n v="14"/>
    <n v="14"/>
  </r>
  <r>
    <x v="2"/>
    <x v="2"/>
    <x v="2"/>
    <x v="2"/>
    <x v="1"/>
    <s v="Q1"/>
    <x v="1"/>
    <n v="25"/>
    <n v="25"/>
  </r>
  <r>
    <x v="3"/>
    <x v="3"/>
    <x v="3"/>
    <x v="3"/>
    <x v="1"/>
    <s v="Q1"/>
    <x v="1"/>
    <n v="159"/>
    <n v="159"/>
  </r>
  <r>
    <x v="4"/>
    <x v="2"/>
    <x v="4"/>
    <x v="4"/>
    <x v="1"/>
    <s v="Q1"/>
    <x v="1"/>
    <n v="127"/>
    <n v="127"/>
  </r>
  <r>
    <x v="5"/>
    <x v="4"/>
    <x v="4"/>
    <x v="4"/>
    <x v="1"/>
    <s v="Q1"/>
    <x v="1"/>
    <n v="16"/>
    <n v="16"/>
  </r>
  <r>
    <x v="6"/>
    <x v="4"/>
    <x v="5"/>
    <x v="5"/>
    <x v="1"/>
    <s v="Q1"/>
    <x v="1"/>
    <n v="16"/>
    <n v="16"/>
  </r>
  <r>
    <x v="7"/>
    <x v="4"/>
    <x v="6"/>
    <x v="6"/>
    <x v="1"/>
    <s v="Q1"/>
    <x v="1"/>
    <n v="175"/>
    <n v="175"/>
  </r>
  <r>
    <x v="3"/>
    <x v="2"/>
    <x v="7"/>
    <x v="7"/>
    <x v="1"/>
    <s v="Q1"/>
    <x v="1"/>
    <n v="15"/>
    <n v="15"/>
  </r>
  <r>
    <x v="1"/>
    <x v="5"/>
    <x v="8"/>
    <x v="8"/>
    <x v="2"/>
    <s v="Q2"/>
    <x v="1"/>
    <n v="20"/>
    <n v="20"/>
  </r>
  <r>
    <x v="2"/>
    <x v="1"/>
    <x v="9"/>
    <x v="9"/>
    <x v="2"/>
    <s v="Q2"/>
    <x v="1"/>
    <n v="16"/>
    <n v="16"/>
  </r>
  <r>
    <x v="3"/>
    <x v="6"/>
    <x v="10"/>
    <x v="10"/>
    <x v="2"/>
    <s v="Q2"/>
    <x v="1"/>
    <n v="25"/>
    <n v="25"/>
  </r>
  <r>
    <x v="4"/>
    <x v="2"/>
    <x v="11"/>
    <x v="11"/>
    <x v="2"/>
    <s v="Q2"/>
    <x v="1"/>
    <n v="15"/>
    <n v="15"/>
  </r>
  <r>
    <x v="5"/>
    <x v="4"/>
    <x v="12"/>
    <x v="12"/>
    <x v="2"/>
    <s v="Q2"/>
    <x v="1"/>
    <n v="16"/>
    <n v="16"/>
  </r>
  <r>
    <x v="6"/>
    <x v="4"/>
    <x v="13"/>
    <x v="13"/>
    <x v="2"/>
    <s v="Q2"/>
    <x v="1"/>
    <n v="16"/>
    <n v="16"/>
  </r>
  <r>
    <x v="7"/>
    <x v="6"/>
    <x v="13"/>
    <x v="13"/>
    <x v="2"/>
    <s v="Q2"/>
    <x v="1"/>
    <n v="118"/>
    <n v="118"/>
  </r>
  <r>
    <x v="3"/>
    <x v="7"/>
    <x v="14"/>
    <x v="7"/>
    <x v="2"/>
    <s v="Q2"/>
    <x v="1"/>
    <n v="21"/>
    <n v="21"/>
  </r>
  <r>
    <x v="1"/>
    <x v="2"/>
    <x v="15"/>
    <x v="14"/>
    <x v="3"/>
    <s v="Q3"/>
    <x v="1"/>
    <n v="20"/>
    <n v="20"/>
  </r>
  <r>
    <x v="2"/>
    <x v="2"/>
    <x v="16"/>
    <x v="15"/>
    <x v="3"/>
    <s v="Q3"/>
    <x v="1"/>
    <n v="43"/>
    <n v="43"/>
  </r>
  <r>
    <x v="3"/>
    <x v="1"/>
    <x v="17"/>
    <x v="12"/>
    <x v="3"/>
    <s v="Q3"/>
    <x v="1"/>
    <n v="162"/>
    <n v="162"/>
  </r>
  <r>
    <x v="4"/>
    <x v="8"/>
    <x v="18"/>
    <x v="16"/>
    <x v="3"/>
    <s v="Q3"/>
    <x v="1"/>
    <n v="25"/>
    <n v="25"/>
  </r>
  <r>
    <x v="5"/>
    <x v="2"/>
    <x v="19"/>
    <x v="17"/>
    <x v="3"/>
    <s v="Q3"/>
    <x v="1"/>
    <n v="101"/>
    <n v="101"/>
  </r>
  <r>
    <x v="6"/>
    <x v="9"/>
    <x v="20"/>
    <x v="5"/>
    <x v="3"/>
    <s v="Q3"/>
    <x v="1"/>
    <n v="65"/>
    <n v="65"/>
  </r>
  <r>
    <x v="7"/>
    <x v="10"/>
    <x v="21"/>
    <x v="18"/>
    <x v="3"/>
    <s v="Q3"/>
    <x v="1"/>
    <n v="150"/>
    <n v="150"/>
  </r>
  <r>
    <x v="3"/>
    <x v="9"/>
    <x v="22"/>
    <x v="19"/>
    <x v="3"/>
    <s v="Q3"/>
    <x v="1"/>
    <n v="86"/>
    <n v="86"/>
  </r>
  <r>
    <x v="1"/>
    <x v="6"/>
    <x v="23"/>
    <x v="20"/>
    <x v="4"/>
    <s v="Q4"/>
    <x v="1"/>
    <n v="25"/>
    <n v="25"/>
  </r>
  <r>
    <x v="2"/>
    <x v="3"/>
    <x v="24"/>
    <x v="21"/>
    <x v="4"/>
    <s v="Q4"/>
    <x v="1"/>
    <n v="15"/>
    <n v="15"/>
  </r>
  <r>
    <x v="3"/>
    <x v="2"/>
    <x v="25"/>
    <x v="22"/>
    <x v="4"/>
    <s v="Q4"/>
    <x v="1"/>
    <n v="36"/>
    <n v="36"/>
  </r>
  <r>
    <x v="4"/>
    <x v="2"/>
    <x v="26"/>
    <x v="9"/>
    <x v="4"/>
    <s v="Q4"/>
    <x v="1"/>
    <n v="14"/>
    <n v="14"/>
  </r>
  <r>
    <x v="5"/>
    <x v="9"/>
    <x v="27"/>
    <x v="6"/>
    <x v="4"/>
    <s v="Q4"/>
    <x v="1"/>
    <n v="546"/>
    <n v="546"/>
  </r>
  <r>
    <x v="6"/>
    <x v="2"/>
    <x v="28"/>
    <x v="23"/>
    <x v="4"/>
    <s v="Q4"/>
    <x v="1"/>
    <n v="49"/>
    <n v="49"/>
  </r>
  <r>
    <x v="7"/>
    <x v="2"/>
    <x v="29"/>
    <x v="12"/>
    <x v="4"/>
    <s v="Q4"/>
    <x v="1"/>
    <n v="42"/>
    <n v="42"/>
  </r>
  <r>
    <x v="3"/>
    <x v="2"/>
    <x v="30"/>
    <x v="24"/>
    <x v="4"/>
    <s v="Q4"/>
    <x v="1"/>
    <n v="15"/>
    <n v="15"/>
  </r>
  <r>
    <x v="1"/>
    <x v="1"/>
    <x v="1"/>
    <x v="1"/>
    <x v="1"/>
    <s v="Q1"/>
    <x v="2"/>
    <n v="20"/>
    <n v="20"/>
  </r>
  <r>
    <x v="2"/>
    <x v="2"/>
    <x v="2"/>
    <x v="2"/>
    <x v="1"/>
    <s v="Q1"/>
    <x v="2"/>
    <n v="87"/>
    <n v="87"/>
  </r>
  <r>
    <x v="3"/>
    <x v="3"/>
    <x v="3"/>
    <x v="3"/>
    <x v="1"/>
    <s v="Q1"/>
    <x v="2"/>
    <n v="165"/>
    <n v="165"/>
  </r>
  <r>
    <x v="4"/>
    <x v="2"/>
    <x v="4"/>
    <x v="4"/>
    <x v="1"/>
    <s v="Q1"/>
    <x v="2"/>
    <n v="380"/>
    <n v="380"/>
  </r>
  <r>
    <x v="5"/>
    <x v="4"/>
    <x v="4"/>
    <x v="4"/>
    <x v="1"/>
    <s v="Q1"/>
    <x v="2"/>
    <n v="267"/>
    <n v="267"/>
  </r>
  <r>
    <x v="6"/>
    <x v="4"/>
    <x v="5"/>
    <x v="5"/>
    <x v="1"/>
    <s v="Q1"/>
    <x v="2"/>
    <n v="390"/>
    <n v="390"/>
  </r>
  <r>
    <x v="7"/>
    <x v="4"/>
    <x v="6"/>
    <x v="6"/>
    <x v="1"/>
    <s v="Q1"/>
    <x v="2"/>
    <n v="10"/>
    <n v="10"/>
  </r>
  <r>
    <x v="3"/>
    <x v="2"/>
    <x v="7"/>
    <x v="7"/>
    <x v="1"/>
    <s v="Q1"/>
    <x v="2"/>
    <n v="21"/>
    <n v="21"/>
  </r>
  <r>
    <x v="1"/>
    <x v="5"/>
    <x v="8"/>
    <x v="8"/>
    <x v="2"/>
    <s v="Q2"/>
    <x v="2"/>
    <n v="57"/>
    <n v="57"/>
  </r>
  <r>
    <x v="2"/>
    <x v="1"/>
    <x v="9"/>
    <x v="9"/>
    <x v="2"/>
    <s v="Q2"/>
    <x v="2"/>
    <n v="49"/>
    <n v="49"/>
  </r>
  <r>
    <x v="3"/>
    <x v="6"/>
    <x v="10"/>
    <x v="10"/>
    <x v="2"/>
    <s v="Q2"/>
    <x v="2"/>
    <n v="16"/>
    <n v="16"/>
  </r>
  <r>
    <x v="4"/>
    <x v="2"/>
    <x v="11"/>
    <x v="11"/>
    <x v="2"/>
    <s v="Q2"/>
    <x v="2"/>
    <n v="94"/>
    <n v="94"/>
  </r>
  <r>
    <x v="5"/>
    <x v="4"/>
    <x v="12"/>
    <x v="12"/>
    <x v="2"/>
    <s v="Q2"/>
    <x v="2"/>
    <n v="43"/>
    <n v="43"/>
  </r>
  <r>
    <x v="6"/>
    <x v="4"/>
    <x v="13"/>
    <x v="13"/>
    <x v="2"/>
    <s v="Q2"/>
    <x v="2"/>
    <n v="49"/>
    <n v="49"/>
  </r>
  <r>
    <x v="7"/>
    <x v="6"/>
    <x v="13"/>
    <x v="13"/>
    <x v="2"/>
    <s v="Q2"/>
    <x v="2"/>
    <n v="34"/>
    <n v="34"/>
  </r>
  <r>
    <x v="3"/>
    <x v="7"/>
    <x v="14"/>
    <x v="7"/>
    <x v="2"/>
    <s v="Q2"/>
    <x v="2"/>
    <n v="92"/>
    <n v="92"/>
  </r>
  <r>
    <x v="1"/>
    <x v="2"/>
    <x v="15"/>
    <x v="14"/>
    <x v="3"/>
    <s v="Q3"/>
    <x v="2"/>
    <n v="15"/>
    <n v="15"/>
  </r>
  <r>
    <x v="2"/>
    <x v="2"/>
    <x v="16"/>
    <x v="15"/>
    <x v="3"/>
    <s v="Q3"/>
    <x v="2"/>
    <n v="16"/>
    <n v="16"/>
  </r>
  <r>
    <x v="3"/>
    <x v="1"/>
    <x v="17"/>
    <x v="12"/>
    <x v="3"/>
    <s v="Q3"/>
    <x v="2"/>
    <n v="64"/>
    <n v="64"/>
  </r>
  <r>
    <x v="4"/>
    <x v="8"/>
    <x v="18"/>
    <x v="16"/>
    <x v="3"/>
    <s v="Q3"/>
    <x v="2"/>
    <n v="30"/>
    <n v="30"/>
  </r>
  <r>
    <x v="5"/>
    <x v="2"/>
    <x v="19"/>
    <x v="17"/>
    <x v="3"/>
    <s v="Q3"/>
    <x v="2"/>
    <n v="15"/>
    <n v="15"/>
  </r>
  <r>
    <x v="6"/>
    <x v="9"/>
    <x v="20"/>
    <x v="5"/>
    <x v="3"/>
    <s v="Q3"/>
    <x v="2"/>
    <n v="24"/>
    <n v="24"/>
  </r>
  <r>
    <x v="7"/>
    <x v="10"/>
    <x v="21"/>
    <x v="18"/>
    <x v="3"/>
    <s v="Q3"/>
    <x v="2"/>
    <n v="175"/>
    <n v="175"/>
  </r>
  <r>
    <x v="3"/>
    <x v="9"/>
    <x v="22"/>
    <x v="19"/>
    <x v="3"/>
    <s v="Q3"/>
    <x v="2"/>
    <n v="66"/>
    <n v="66"/>
  </r>
  <r>
    <x v="1"/>
    <x v="6"/>
    <x v="23"/>
    <x v="20"/>
    <x v="4"/>
    <s v="Q4"/>
    <x v="2"/>
    <n v="25"/>
    <n v="25"/>
  </r>
  <r>
    <x v="2"/>
    <x v="3"/>
    <x v="24"/>
    <x v="21"/>
    <x v="4"/>
    <s v="Q4"/>
    <x v="2"/>
    <n v="20"/>
    <n v="20"/>
  </r>
  <r>
    <x v="3"/>
    <x v="2"/>
    <x v="25"/>
    <x v="22"/>
    <x v="4"/>
    <s v="Q4"/>
    <x v="2"/>
    <n v="18"/>
    <n v="18"/>
  </r>
  <r>
    <x v="4"/>
    <x v="2"/>
    <x v="26"/>
    <x v="9"/>
    <x v="4"/>
    <s v="Q4"/>
    <x v="2"/>
    <n v="15"/>
    <n v="15"/>
  </r>
  <r>
    <x v="5"/>
    <x v="9"/>
    <x v="27"/>
    <x v="6"/>
    <x v="4"/>
    <s v="Q4"/>
    <x v="2"/>
    <n v="25"/>
    <n v="25"/>
  </r>
  <r>
    <x v="6"/>
    <x v="2"/>
    <x v="28"/>
    <x v="23"/>
    <x v="4"/>
    <s v="Q4"/>
    <x v="2"/>
    <n v="49"/>
    <n v="49"/>
  </r>
  <r>
    <x v="7"/>
    <x v="2"/>
    <x v="29"/>
    <x v="12"/>
    <x v="4"/>
    <s v="Q4"/>
    <x v="2"/>
    <n v="34"/>
    <n v="34"/>
  </r>
  <r>
    <x v="3"/>
    <x v="2"/>
    <x v="30"/>
    <x v="24"/>
    <x v="4"/>
    <s v="Q4"/>
    <x v="2"/>
    <n v="28"/>
    <n v="28"/>
  </r>
  <r>
    <x v="1"/>
    <x v="1"/>
    <x v="1"/>
    <x v="1"/>
    <x v="1"/>
    <s v="Q1"/>
    <x v="3"/>
    <n v="25"/>
    <n v="25"/>
  </r>
  <r>
    <x v="2"/>
    <x v="2"/>
    <x v="2"/>
    <x v="2"/>
    <x v="1"/>
    <s v="Q1"/>
    <x v="3"/>
    <n v="12"/>
    <n v="12"/>
  </r>
  <r>
    <x v="3"/>
    <x v="3"/>
    <x v="3"/>
    <x v="3"/>
    <x v="1"/>
    <s v="Q1"/>
    <x v="3"/>
    <n v="18"/>
    <n v="18"/>
  </r>
  <r>
    <x v="4"/>
    <x v="2"/>
    <x v="4"/>
    <x v="4"/>
    <x v="1"/>
    <s v="Q1"/>
    <x v="3"/>
    <n v="272"/>
    <n v="272"/>
  </r>
  <r>
    <x v="5"/>
    <x v="4"/>
    <x v="4"/>
    <x v="4"/>
    <x v="1"/>
    <s v="Q1"/>
    <x v="3"/>
    <n v="130"/>
    <n v="130"/>
  </r>
  <r>
    <x v="6"/>
    <x v="4"/>
    <x v="5"/>
    <x v="5"/>
    <x v="1"/>
    <s v="Q1"/>
    <x v="3"/>
    <n v="184"/>
    <n v="184"/>
  </r>
  <r>
    <x v="7"/>
    <x v="4"/>
    <x v="6"/>
    <x v="6"/>
    <x v="1"/>
    <s v="Q1"/>
    <x v="3"/>
    <n v="49"/>
    <n v="49"/>
  </r>
  <r>
    <x v="3"/>
    <x v="2"/>
    <x v="7"/>
    <x v="7"/>
    <x v="1"/>
    <s v="Q1"/>
    <x v="3"/>
    <n v="28"/>
    <n v="28"/>
  </r>
  <r>
    <x v="1"/>
    <x v="5"/>
    <x v="8"/>
    <x v="8"/>
    <x v="2"/>
    <s v="Q2"/>
    <x v="3"/>
    <n v="972"/>
    <n v="972"/>
  </r>
  <r>
    <x v="2"/>
    <x v="1"/>
    <x v="9"/>
    <x v="9"/>
    <x v="2"/>
    <s v="Q2"/>
    <x v="3"/>
    <n v="301"/>
    <n v="301"/>
  </r>
  <r>
    <x v="3"/>
    <x v="6"/>
    <x v="10"/>
    <x v="10"/>
    <x v="2"/>
    <s v="Q2"/>
    <x v="3"/>
    <n v="894"/>
    <n v="894"/>
  </r>
  <r>
    <x v="4"/>
    <x v="2"/>
    <x v="11"/>
    <x v="11"/>
    <x v="2"/>
    <s v="Q2"/>
    <x v="3"/>
    <n v="1700"/>
    <n v="1700"/>
  </r>
  <r>
    <x v="5"/>
    <x v="4"/>
    <x v="12"/>
    <x v="12"/>
    <x v="2"/>
    <s v="Q2"/>
    <x v="3"/>
    <n v="30"/>
    <n v="30"/>
  </r>
  <r>
    <x v="6"/>
    <x v="4"/>
    <x v="13"/>
    <x v="13"/>
    <x v="2"/>
    <s v="Q2"/>
    <x v="3"/>
    <n v="39"/>
    <n v="39"/>
  </r>
  <r>
    <x v="7"/>
    <x v="6"/>
    <x v="13"/>
    <x v="13"/>
    <x v="2"/>
    <s v="Q2"/>
    <x v="3"/>
    <n v="25"/>
    <n v="25"/>
  </r>
  <r>
    <x v="3"/>
    <x v="7"/>
    <x v="14"/>
    <x v="7"/>
    <x v="2"/>
    <s v="Q2"/>
    <x v="3"/>
    <n v="49"/>
    <n v="49"/>
  </r>
  <r>
    <x v="1"/>
    <x v="2"/>
    <x v="15"/>
    <x v="14"/>
    <x v="3"/>
    <s v="Q3"/>
    <x v="3"/>
    <n v="49"/>
    <n v="49"/>
  </r>
  <r>
    <x v="2"/>
    <x v="2"/>
    <x v="16"/>
    <x v="15"/>
    <x v="3"/>
    <s v="Q3"/>
    <x v="3"/>
    <n v="49"/>
    <n v="49"/>
  </r>
  <r>
    <x v="3"/>
    <x v="1"/>
    <x v="17"/>
    <x v="12"/>
    <x v="3"/>
    <s v="Q3"/>
    <x v="3"/>
    <n v="62"/>
    <n v="62"/>
  </r>
  <r>
    <x v="4"/>
    <x v="8"/>
    <x v="18"/>
    <x v="16"/>
    <x v="3"/>
    <s v="Q3"/>
    <x v="3"/>
    <n v="37"/>
    <n v="37"/>
  </r>
  <r>
    <x v="5"/>
    <x v="2"/>
    <x v="19"/>
    <x v="17"/>
    <x v="3"/>
    <s v="Q3"/>
    <x v="3"/>
    <n v="16"/>
    <n v="16"/>
  </r>
  <r>
    <x v="6"/>
    <x v="9"/>
    <x v="20"/>
    <x v="5"/>
    <x v="3"/>
    <s v="Q3"/>
    <x v="3"/>
    <n v="28"/>
    <n v="28"/>
  </r>
  <r>
    <x v="7"/>
    <x v="10"/>
    <x v="21"/>
    <x v="18"/>
    <x v="3"/>
    <s v="Q3"/>
    <x v="3"/>
    <n v="25"/>
    <n v="25"/>
  </r>
  <r>
    <x v="3"/>
    <x v="9"/>
    <x v="22"/>
    <x v="19"/>
    <x v="3"/>
    <s v="Q3"/>
    <x v="3"/>
    <n v="43"/>
    <n v="43"/>
  </r>
  <r>
    <x v="1"/>
    <x v="6"/>
    <x v="23"/>
    <x v="20"/>
    <x v="4"/>
    <s v="Q4"/>
    <x v="3"/>
    <n v="50"/>
    <n v="50"/>
  </r>
  <r>
    <x v="2"/>
    <x v="3"/>
    <x v="24"/>
    <x v="21"/>
    <x v="4"/>
    <s v="Q4"/>
    <x v="3"/>
    <n v="29"/>
    <n v="29"/>
  </r>
  <r>
    <x v="3"/>
    <x v="2"/>
    <x v="25"/>
    <x v="22"/>
    <x v="4"/>
    <s v="Q4"/>
    <x v="3"/>
    <n v="25"/>
    <n v="25"/>
  </r>
  <r>
    <x v="4"/>
    <x v="2"/>
    <x v="26"/>
    <x v="9"/>
    <x v="4"/>
    <s v="Q4"/>
    <x v="3"/>
    <n v="44"/>
    <n v="44"/>
  </r>
  <r>
    <x v="5"/>
    <x v="9"/>
    <x v="27"/>
    <x v="6"/>
    <x v="4"/>
    <s v="Q4"/>
    <x v="3"/>
    <n v="54"/>
    <n v="54"/>
  </r>
  <r>
    <x v="6"/>
    <x v="2"/>
    <x v="28"/>
    <x v="23"/>
    <x v="4"/>
    <s v="Q4"/>
    <x v="3"/>
    <n v="65"/>
    <n v="65"/>
  </r>
  <r>
    <x v="7"/>
    <x v="2"/>
    <x v="29"/>
    <x v="12"/>
    <x v="4"/>
    <s v="Q4"/>
    <x v="3"/>
    <n v="32"/>
    <n v="32"/>
  </r>
  <r>
    <x v="3"/>
    <x v="2"/>
    <x v="30"/>
    <x v="24"/>
    <x v="4"/>
    <s v="Q4"/>
    <x v="3"/>
    <n v="21"/>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B3AD18-7E37-4A4C-B03C-9DDFCE6E42D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L9" firstHeaderRow="1" firstDataRow="2" firstDataCol="1" rowPageCount="1" colPageCount="1"/>
  <pivotFields count="9">
    <pivotField showAll="0"/>
    <pivotField axis="axisCol" showAll="0">
      <items count="12">
        <item x="9"/>
        <item x="8"/>
        <item x="7"/>
        <item x="4"/>
        <item x="1"/>
        <item x="10"/>
        <item x="3"/>
        <item x="2"/>
        <item x="5"/>
        <item x="6"/>
        <item x="0"/>
        <item t="default"/>
      </items>
    </pivotField>
    <pivotField showAll="0">
      <items count="32">
        <item x="1"/>
        <item x="2"/>
        <item x="3"/>
        <item x="4"/>
        <item x="5"/>
        <item x="6"/>
        <item x="7"/>
        <item x="8"/>
        <item x="9"/>
        <item x="10"/>
        <item x="11"/>
        <item x="12"/>
        <item x="13"/>
        <item x="14"/>
        <item x="15"/>
        <item x="16"/>
        <item x="17"/>
        <item x="18"/>
        <item x="19"/>
        <item x="20"/>
        <item x="21"/>
        <item x="22"/>
        <item x="23"/>
        <item x="24"/>
        <item x="25"/>
        <item x="26"/>
        <item x="27"/>
        <item x="28"/>
        <item x="29"/>
        <item x="30"/>
        <item x="0"/>
        <item t="default"/>
      </items>
    </pivotField>
    <pivotField showAll="0"/>
    <pivotField axis="axisRow" showAll="0">
      <items count="6">
        <item x="1"/>
        <item x="2"/>
        <item x="3"/>
        <item x="4"/>
        <item h="1" x="0"/>
        <item t="default"/>
      </items>
    </pivotField>
    <pivotField showAll="0"/>
    <pivotField axis="axisPage" multipleItemSelectionAllowed="1" showAll="0">
      <items count="5">
        <item x="1"/>
        <item x="2"/>
        <item x="3"/>
        <item x="0"/>
        <item t="default"/>
      </items>
    </pivotField>
    <pivotField dataField="1" showAll="0"/>
    <pivotField showAll="0"/>
  </pivotFields>
  <rowFields count="1">
    <field x="4"/>
  </rowFields>
  <rowItems count="5">
    <i>
      <x/>
    </i>
    <i>
      <x v="1"/>
    </i>
    <i>
      <x v="2"/>
    </i>
    <i>
      <x v="3"/>
    </i>
    <i t="grand">
      <x/>
    </i>
  </rowItems>
  <colFields count="1">
    <field x="1"/>
  </colFields>
  <colItems count="11">
    <i>
      <x/>
    </i>
    <i>
      <x v="1"/>
    </i>
    <i>
      <x v="2"/>
    </i>
    <i>
      <x v="3"/>
    </i>
    <i>
      <x v="4"/>
    </i>
    <i>
      <x v="5"/>
    </i>
    <i>
      <x v="6"/>
    </i>
    <i>
      <x v="7"/>
    </i>
    <i>
      <x v="8"/>
    </i>
    <i>
      <x v="9"/>
    </i>
    <i t="grand">
      <x/>
    </i>
  </colItems>
  <pageFields count="1">
    <pageField fld="6" hier="-1"/>
  </pageFields>
  <dataFields count="1">
    <dataField name="Sum of Cleaned admission" fld="7" baseField="4" baseItem="4"/>
  </dataFields>
  <chartFormats count="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4" format="20" series="1">
      <pivotArea type="data" outline="0" fieldPosition="0">
        <references count="2">
          <reference field="4294967294" count="1" selected="0">
            <x v="0"/>
          </reference>
          <reference field="1" count="1" selected="0">
            <x v="0"/>
          </reference>
        </references>
      </pivotArea>
    </chartFormat>
    <chartFormat chart="4" format="21" series="1">
      <pivotArea type="data" outline="0" fieldPosition="0">
        <references count="2">
          <reference field="4294967294" count="1" selected="0">
            <x v="0"/>
          </reference>
          <reference field="1" count="1" selected="0">
            <x v="1"/>
          </reference>
        </references>
      </pivotArea>
    </chartFormat>
    <chartFormat chart="4" format="22" series="1">
      <pivotArea type="data" outline="0" fieldPosition="0">
        <references count="2">
          <reference field="4294967294" count="1" selected="0">
            <x v="0"/>
          </reference>
          <reference field="1" count="1" selected="0">
            <x v="2"/>
          </reference>
        </references>
      </pivotArea>
    </chartFormat>
    <chartFormat chart="4" format="23" series="1">
      <pivotArea type="data" outline="0" fieldPosition="0">
        <references count="2">
          <reference field="4294967294" count="1" selected="0">
            <x v="0"/>
          </reference>
          <reference field="1" count="1" selected="0">
            <x v="3"/>
          </reference>
        </references>
      </pivotArea>
    </chartFormat>
    <chartFormat chart="4" format="24" series="1">
      <pivotArea type="data" outline="0" fieldPosition="0">
        <references count="2">
          <reference field="4294967294" count="1" selected="0">
            <x v="0"/>
          </reference>
          <reference field="1" count="1" selected="0">
            <x v="4"/>
          </reference>
        </references>
      </pivotArea>
    </chartFormat>
    <chartFormat chart="4" format="25" series="1">
      <pivotArea type="data" outline="0" fieldPosition="0">
        <references count="2">
          <reference field="4294967294" count="1" selected="0">
            <x v="0"/>
          </reference>
          <reference field="1" count="1" selected="0">
            <x v="5"/>
          </reference>
        </references>
      </pivotArea>
    </chartFormat>
    <chartFormat chart="4" format="26" series="1">
      <pivotArea type="data" outline="0" fieldPosition="0">
        <references count="2">
          <reference field="4294967294" count="1" selected="0">
            <x v="0"/>
          </reference>
          <reference field="1" count="1" selected="0">
            <x v="6"/>
          </reference>
        </references>
      </pivotArea>
    </chartFormat>
    <chartFormat chart="4" format="27" series="1">
      <pivotArea type="data" outline="0" fieldPosition="0">
        <references count="2">
          <reference field="4294967294" count="1" selected="0">
            <x v="0"/>
          </reference>
          <reference field="1" count="1" selected="0">
            <x v="7"/>
          </reference>
        </references>
      </pivotArea>
    </chartFormat>
    <chartFormat chart="4" format="28" series="1">
      <pivotArea type="data" outline="0" fieldPosition="0">
        <references count="2">
          <reference field="4294967294" count="1" selected="0">
            <x v="0"/>
          </reference>
          <reference field="1" count="1" selected="0">
            <x v="8"/>
          </reference>
        </references>
      </pivotArea>
    </chartFormat>
    <chartFormat chart="4" format="2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11F782-D843-4A6F-85DE-A07454E8ADE7}"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8" firstHeaderRow="1" firstDataRow="1" firstDataCol="1"/>
  <pivotFields count="9">
    <pivotField showAll="0"/>
    <pivotField showAll="0"/>
    <pivotField showAll="0">
      <items count="32">
        <item x="1"/>
        <item x="2"/>
        <item x="3"/>
        <item x="4"/>
        <item x="5"/>
        <item x="6"/>
        <item x="7"/>
        <item x="8"/>
        <item x="9"/>
        <item x="10"/>
        <item x="11"/>
        <item x="12"/>
        <item x="13"/>
        <item x="14"/>
        <item x="15"/>
        <item x="16"/>
        <item x="17"/>
        <item x="18"/>
        <item x="19"/>
        <item x="20"/>
        <item x="21"/>
        <item x="22"/>
        <item x="23"/>
        <item x="24"/>
        <item x="25"/>
        <item x="26"/>
        <item x="27"/>
        <item x="28"/>
        <item x="29"/>
        <item x="30"/>
        <item x="0"/>
        <item t="default"/>
      </items>
    </pivotField>
    <pivotField axis="axisRow" showAll="0" sortType="descending">
      <items count="26">
        <item x="2"/>
        <item x="6"/>
        <item x="13"/>
        <item x="22"/>
        <item x="10"/>
        <item x="12"/>
        <item x="18"/>
        <item x="4"/>
        <item x="15"/>
        <item x="3"/>
        <item x="21"/>
        <item x="17"/>
        <item x="19"/>
        <item x="14"/>
        <item x="24"/>
        <item x="11"/>
        <item x="1"/>
        <item x="23"/>
        <item x="8"/>
        <item x="9"/>
        <item x="7"/>
        <item x="16"/>
        <item x="5"/>
        <item x="20"/>
        <item h="1" x="0"/>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showAll="0"/>
    <pivotField showAll="0">
      <items count="5">
        <item x="1"/>
        <item x="2"/>
        <item x="3"/>
        <item x="0"/>
        <item t="default"/>
      </items>
    </pivotField>
    <pivotField dataField="1" showAll="0"/>
    <pivotField showAll="0"/>
  </pivotFields>
  <rowFields count="1">
    <field x="3"/>
  </rowFields>
  <rowItems count="25">
    <i>
      <x v="5"/>
    </i>
    <i>
      <x v="19"/>
    </i>
    <i>
      <x v="7"/>
    </i>
    <i>
      <x v="1"/>
    </i>
    <i>
      <x v="20"/>
    </i>
    <i>
      <x v="2"/>
    </i>
    <i>
      <x v="22"/>
    </i>
    <i>
      <x v="14"/>
    </i>
    <i>
      <x v="18"/>
    </i>
    <i>
      <x v="16"/>
    </i>
    <i>
      <x v="8"/>
    </i>
    <i>
      <x v="6"/>
    </i>
    <i>
      <x v="9"/>
    </i>
    <i>
      <x v="15"/>
    </i>
    <i>
      <x v="21"/>
    </i>
    <i>
      <x v="17"/>
    </i>
    <i>
      <x v="23"/>
    </i>
    <i>
      <x v="3"/>
    </i>
    <i>
      <x v="12"/>
    </i>
    <i>
      <x v="4"/>
    </i>
    <i>
      <x v="13"/>
    </i>
    <i>
      <x v="10"/>
    </i>
    <i>
      <x/>
    </i>
    <i>
      <x v="11"/>
    </i>
    <i t="grand">
      <x/>
    </i>
  </rowItems>
  <colItems count="1">
    <i/>
  </colItems>
  <dataFields count="1">
    <dataField name="Count of Cleaned admission" fld="7" subtotal="count" baseField="0" baseItem="0"/>
  </dataFields>
  <chartFormats count="4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5"/>
          </reference>
        </references>
      </pivotArea>
    </chartFormat>
    <chartFormat chart="5" format="2">
      <pivotArea type="data" outline="0" fieldPosition="0">
        <references count="2">
          <reference field="4294967294" count="1" selected="0">
            <x v="0"/>
          </reference>
          <reference field="3" count="1" selected="0">
            <x v="19"/>
          </reference>
        </references>
      </pivotArea>
    </chartFormat>
    <chartFormat chart="5" format="3">
      <pivotArea type="data" outline="0" fieldPosition="0">
        <references count="2">
          <reference field="4294967294" count="1" selected="0">
            <x v="0"/>
          </reference>
          <reference field="3" count="1" selected="0">
            <x v="7"/>
          </reference>
        </references>
      </pivotArea>
    </chartFormat>
    <chartFormat chart="5" format="4">
      <pivotArea type="data" outline="0" fieldPosition="0">
        <references count="2">
          <reference field="4294967294" count="1" selected="0">
            <x v="0"/>
          </reference>
          <reference field="3" count="1" selected="0">
            <x v="1"/>
          </reference>
        </references>
      </pivotArea>
    </chartFormat>
    <chartFormat chart="5" format="5">
      <pivotArea type="data" outline="0" fieldPosition="0">
        <references count="2">
          <reference field="4294967294" count="1" selected="0">
            <x v="0"/>
          </reference>
          <reference field="3" count="1" selected="0">
            <x v="20"/>
          </reference>
        </references>
      </pivotArea>
    </chartFormat>
    <chartFormat chart="5" format="6">
      <pivotArea type="data" outline="0" fieldPosition="0">
        <references count="2">
          <reference field="4294967294" count="1" selected="0">
            <x v="0"/>
          </reference>
          <reference field="3" count="1" selected="0">
            <x v="2"/>
          </reference>
        </references>
      </pivotArea>
    </chartFormat>
    <chartFormat chart="5" format="7">
      <pivotArea type="data" outline="0" fieldPosition="0">
        <references count="2">
          <reference field="4294967294" count="1" selected="0">
            <x v="0"/>
          </reference>
          <reference field="3" count="1" selected="0">
            <x v="22"/>
          </reference>
        </references>
      </pivotArea>
    </chartFormat>
    <chartFormat chart="5" format="8">
      <pivotArea type="data" outline="0" fieldPosition="0">
        <references count="2">
          <reference field="4294967294" count="1" selected="0">
            <x v="0"/>
          </reference>
          <reference field="3" count="1" selected="0">
            <x v="14"/>
          </reference>
        </references>
      </pivotArea>
    </chartFormat>
    <chartFormat chart="5" format="9">
      <pivotArea type="data" outline="0" fieldPosition="0">
        <references count="2">
          <reference field="4294967294" count="1" selected="0">
            <x v="0"/>
          </reference>
          <reference field="3" count="1" selected="0">
            <x v="16"/>
          </reference>
        </references>
      </pivotArea>
    </chartFormat>
    <chartFormat chart="5" format="10">
      <pivotArea type="data" outline="0" fieldPosition="0">
        <references count="2">
          <reference field="4294967294" count="1" selected="0">
            <x v="0"/>
          </reference>
          <reference field="3" count="1" selected="0">
            <x v="8"/>
          </reference>
        </references>
      </pivotArea>
    </chartFormat>
    <chartFormat chart="5" format="11">
      <pivotArea type="data" outline="0" fieldPosition="0">
        <references count="2">
          <reference field="4294967294" count="1" selected="0">
            <x v="0"/>
          </reference>
          <reference field="3" count="1" selected="0">
            <x v="6"/>
          </reference>
        </references>
      </pivotArea>
    </chartFormat>
    <chartFormat chart="5" format="12">
      <pivotArea type="data" outline="0" fieldPosition="0">
        <references count="2">
          <reference field="4294967294" count="1" selected="0">
            <x v="0"/>
          </reference>
          <reference field="3" count="1" selected="0">
            <x v="9"/>
          </reference>
        </references>
      </pivotArea>
    </chartFormat>
    <chartFormat chart="5" format="13">
      <pivotArea type="data" outline="0" fieldPosition="0">
        <references count="2">
          <reference field="4294967294" count="1" selected="0">
            <x v="0"/>
          </reference>
          <reference field="3" count="1" selected="0">
            <x v="15"/>
          </reference>
        </references>
      </pivotArea>
    </chartFormat>
    <chartFormat chart="5" format="14">
      <pivotArea type="data" outline="0" fieldPosition="0">
        <references count="2">
          <reference field="4294967294" count="1" selected="0">
            <x v="0"/>
          </reference>
          <reference field="3" count="1" selected="0">
            <x v="21"/>
          </reference>
        </references>
      </pivotArea>
    </chartFormat>
    <chartFormat chart="5" format="15">
      <pivotArea type="data" outline="0" fieldPosition="0">
        <references count="2">
          <reference field="4294967294" count="1" selected="0">
            <x v="0"/>
          </reference>
          <reference field="3" count="1" selected="0">
            <x v="17"/>
          </reference>
        </references>
      </pivotArea>
    </chartFormat>
    <chartFormat chart="5" format="16">
      <pivotArea type="data" outline="0" fieldPosition="0">
        <references count="2">
          <reference field="4294967294" count="1" selected="0">
            <x v="0"/>
          </reference>
          <reference field="3" count="1" selected="0">
            <x v="23"/>
          </reference>
        </references>
      </pivotArea>
    </chartFormat>
    <chartFormat chart="5" format="17">
      <pivotArea type="data" outline="0" fieldPosition="0">
        <references count="2">
          <reference field="4294967294" count="1" selected="0">
            <x v="0"/>
          </reference>
          <reference field="3" count="1" selected="0">
            <x v="3"/>
          </reference>
        </references>
      </pivotArea>
    </chartFormat>
    <chartFormat chart="5" format="18">
      <pivotArea type="data" outline="0" fieldPosition="0">
        <references count="2">
          <reference field="4294967294" count="1" selected="0">
            <x v="0"/>
          </reference>
          <reference field="3" count="1" selected="0">
            <x v="0"/>
          </reference>
        </references>
      </pivotArea>
    </chartFormat>
    <chartFormat chart="5" format="19">
      <pivotArea type="data" outline="0" fieldPosition="0">
        <references count="2">
          <reference field="4294967294" count="1" selected="0">
            <x v="0"/>
          </reference>
          <reference field="3" count="1" selected="0">
            <x v="4"/>
          </reference>
        </references>
      </pivotArea>
    </chartFormat>
    <chartFormat chart="5" format="20">
      <pivotArea type="data" outline="0" fieldPosition="0">
        <references count="2">
          <reference field="4294967294" count="1" selected="0">
            <x v="0"/>
          </reference>
          <reference field="3" count="1" selected="0">
            <x v="13"/>
          </reference>
        </references>
      </pivotArea>
    </chartFormat>
    <chartFormat chart="5" format="21">
      <pivotArea type="data" outline="0" fieldPosition="0">
        <references count="2">
          <reference field="4294967294" count="1" selected="0">
            <x v="0"/>
          </reference>
          <reference field="3" count="1" selected="0">
            <x v="10"/>
          </reference>
        </references>
      </pivotArea>
    </chartFormat>
    <chartFormat chart="5" format="22">
      <pivotArea type="data" outline="0" fieldPosition="0">
        <references count="2">
          <reference field="4294967294" count="1" selected="0">
            <x v="0"/>
          </reference>
          <reference field="3" count="1" selected="0">
            <x v="11"/>
          </reference>
        </references>
      </pivotArea>
    </chartFormat>
    <chartFormat chart="5" format="23">
      <pivotArea type="data" outline="0" fieldPosition="0">
        <references count="2">
          <reference field="4294967294" count="1" selected="0">
            <x v="0"/>
          </reference>
          <reference field="3" count="1" selected="0">
            <x v="12"/>
          </reference>
        </references>
      </pivotArea>
    </chartFormat>
    <chartFormat chart="7" format="48" series="1">
      <pivotArea type="data" outline="0" fieldPosition="0">
        <references count="1">
          <reference field="4294967294" count="1" selected="0">
            <x v="0"/>
          </reference>
        </references>
      </pivotArea>
    </chartFormat>
    <chartFormat chart="7" format="49">
      <pivotArea type="data" outline="0" fieldPosition="0">
        <references count="2">
          <reference field="4294967294" count="1" selected="0">
            <x v="0"/>
          </reference>
          <reference field="3" count="1" selected="0">
            <x v="5"/>
          </reference>
        </references>
      </pivotArea>
    </chartFormat>
    <chartFormat chart="7" format="50">
      <pivotArea type="data" outline="0" fieldPosition="0">
        <references count="2">
          <reference field="4294967294" count="1" selected="0">
            <x v="0"/>
          </reference>
          <reference field="3" count="1" selected="0">
            <x v="19"/>
          </reference>
        </references>
      </pivotArea>
    </chartFormat>
    <chartFormat chart="7" format="51">
      <pivotArea type="data" outline="0" fieldPosition="0">
        <references count="2">
          <reference field="4294967294" count="1" selected="0">
            <x v="0"/>
          </reference>
          <reference field="3" count="1" selected="0">
            <x v="7"/>
          </reference>
        </references>
      </pivotArea>
    </chartFormat>
    <chartFormat chart="7" format="52">
      <pivotArea type="data" outline="0" fieldPosition="0">
        <references count="2">
          <reference field="4294967294" count="1" selected="0">
            <x v="0"/>
          </reference>
          <reference field="3" count="1" selected="0">
            <x v="1"/>
          </reference>
        </references>
      </pivotArea>
    </chartFormat>
    <chartFormat chart="7" format="53">
      <pivotArea type="data" outline="0" fieldPosition="0">
        <references count="2">
          <reference field="4294967294" count="1" selected="0">
            <x v="0"/>
          </reference>
          <reference field="3" count="1" selected="0">
            <x v="20"/>
          </reference>
        </references>
      </pivotArea>
    </chartFormat>
    <chartFormat chart="7" format="54">
      <pivotArea type="data" outline="0" fieldPosition="0">
        <references count="2">
          <reference field="4294967294" count="1" selected="0">
            <x v="0"/>
          </reference>
          <reference field="3" count="1" selected="0">
            <x v="2"/>
          </reference>
        </references>
      </pivotArea>
    </chartFormat>
    <chartFormat chart="7" format="55">
      <pivotArea type="data" outline="0" fieldPosition="0">
        <references count="2">
          <reference field="4294967294" count="1" selected="0">
            <x v="0"/>
          </reference>
          <reference field="3" count="1" selected="0">
            <x v="22"/>
          </reference>
        </references>
      </pivotArea>
    </chartFormat>
    <chartFormat chart="7" format="56">
      <pivotArea type="data" outline="0" fieldPosition="0">
        <references count="2">
          <reference field="4294967294" count="1" selected="0">
            <x v="0"/>
          </reference>
          <reference field="3" count="1" selected="0">
            <x v="14"/>
          </reference>
        </references>
      </pivotArea>
    </chartFormat>
    <chartFormat chart="7" format="57">
      <pivotArea type="data" outline="0" fieldPosition="0">
        <references count="2">
          <reference field="4294967294" count="1" selected="0">
            <x v="0"/>
          </reference>
          <reference field="3" count="1" selected="0">
            <x v="16"/>
          </reference>
        </references>
      </pivotArea>
    </chartFormat>
    <chartFormat chart="7" format="58">
      <pivotArea type="data" outline="0" fieldPosition="0">
        <references count="2">
          <reference field="4294967294" count="1" selected="0">
            <x v="0"/>
          </reference>
          <reference field="3" count="1" selected="0">
            <x v="8"/>
          </reference>
        </references>
      </pivotArea>
    </chartFormat>
    <chartFormat chart="7" format="59">
      <pivotArea type="data" outline="0" fieldPosition="0">
        <references count="2">
          <reference field="4294967294" count="1" selected="0">
            <x v="0"/>
          </reference>
          <reference field="3" count="1" selected="0">
            <x v="6"/>
          </reference>
        </references>
      </pivotArea>
    </chartFormat>
    <chartFormat chart="7" format="60">
      <pivotArea type="data" outline="0" fieldPosition="0">
        <references count="2">
          <reference field="4294967294" count="1" selected="0">
            <x v="0"/>
          </reference>
          <reference field="3" count="1" selected="0">
            <x v="9"/>
          </reference>
        </references>
      </pivotArea>
    </chartFormat>
    <chartFormat chart="7" format="61">
      <pivotArea type="data" outline="0" fieldPosition="0">
        <references count="2">
          <reference field="4294967294" count="1" selected="0">
            <x v="0"/>
          </reference>
          <reference field="3" count="1" selected="0">
            <x v="15"/>
          </reference>
        </references>
      </pivotArea>
    </chartFormat>
    <chartFormat chart="7" format="62">
      <pivotArea type="data" outline="0" fieldPosition="0">
        <references count="2">
          <reference field="4294967294" count="1" selected="0">
            <x v="0"/>
          </reference>
          <reference field="3" count="1" selected="0">
            <x v="21"/>
          </reference>
        </references>
      </pivotArea>
    </chartFormat>
    <chartFormat chart="7" format="63">
      <pivotArea type="data" outline="0" fieldPosition="0">
        <references count="2">
          <reference field="4294967294" count="1" selected="0">
            <x v="0"/>
          </reference>
          <reference field="3" count="1" selected="0">
            <x v="17"/>
          </reference>
        </references>
      </pivotArea>
    </chartFormat>
    <chartFormat chart="7" format="64">
      <pivotArea type="data" outline="0" fieldPosition="0">
        <references count="2">
          <reference field="4294967294" count="1" selected="0">
            <x v="0"/>
          </reference>
          <reference field="3" count="1" selected="0">
            <x v="23"/>
          </reference>
        </references>
      </pivotArea>
    </chartFormat>
    <chartFormat chart="7" format="65">
      <pivotArea type="data" outline="0" fieldPosition="0">
        <references count="2">
          <reference field="4294967294" count="1" selected="0">
            <x v="0"/>
          </reference>
          <reference field="3" count="1" selected="0">
            <x v="3"/>
          </reference>
        </references>
      </pivotArea>
    </chartFormat>
    <chartFormat chart="7" format="66">
      <pivotArea type="data" outline="0" fieldPosition="0">
        <references count="2">
          <reference field="4294967294" count="1" selected="0">
            <x v="0"/>
          </reference>
          <reference field="3" count="1" selected="0">
            <x v="0"/>
          </reference>
        </references>
      </pivotArea>
    </chartFormat>
    <chartFormat chart="7" format="67">
      <pivotArea type="data" outline="0" fieldPosition="0">
        <references count="2">
          <reference field="4294967294" count="1" selected="0">
            <x v="0"/>
          </reference>
          <reference field="3" count="1" selected="0">
            <x v="4"/>
          </reference>
        </references>
      </pivotArea>
    </chartFormat>
    <chartFormat chart="7" format="68">
      <pivotArea type="data" outline="0" fieldPosition="0">
        <references count="2">
          <reference field="4294967294" count="1" selected="0">
            <x v="0"/>
          </reference>
          <reference field="3" count="1" selected="0">
            <x v="13"/>
          </reference>
        </references>
      </pivotArea>
    </chartFormat>
    <chartFormat chart="7" format="69">
      <pivotArea type="data" outline="0" fieldPosition="0">
        <references count="2">
          <reference field="4294967294" count="1" selected="0">
            <x v="0"/>
          </reference>
          <reference field="3" count="1" selected="0">
            <x v="10"/>
          </reference>
        </references>
      </pivotArea>
    </chartFormat>
    <chartFormat chart="7" format="70">
      <pivotArea type="data" outline="0" fieldPosition="0">
        <references count="2">
          <reference field="4294967294" count="1" selected="0">
            <x v="0"/>
          </reference>
          <reference field="3" count="1" selected="0">
            <x v="11"/>
          </reference>
        </references>
      </pivotArea>
    </chartFormat>
    <chartFormat chart="7" format="71">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9CBEA6-A21D-429F-B0A8-B521C051CC3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9">
    <pivotField showAll="0"/>
    <pivotField axis="axisRow" showAll="0">
      <items count="12">
        <item x="9"/>
        <item x="8"/>
        <item x="7"/>
        <item x="4"/>
        <item x="1"/>
        <item x="10"/>
        <item x="3"/>
        <item x="2"/>
        <item x="5"/>
        <item x="6"/>
        <item h="1" x="0"/>
        <item t="default"/>
      </items>
    </pivotField>
    <pivotField showAll="0">
      <items count="32">
        <item x="1"/>
        <item x="2"/>
        <item x="3"/>
        <item x="4"/>
        <item x="5"/>
        <item x="6"/>
        <item x="7"/>
        <item x="8"/>
        <item x="9"/>
        <item x="10"/>
        <item x="11"/>
        <item x="12"/>
        <item x="13"/>
        <item x="14"/>
        <item x="15"/>
        <item x="16"/>
        <item x="17"/>
        <item x="18"/>
        <item x="19"/>
        <item x="20"/>
        <item x="21"/>
        <item x="22"/>
        <item x="23"/>
        <item x="24"/>
        <item x="25"/>
        <item x="26"/>
        <item x="27"/>
        <item x="28"/>
        <item x="29"/>
        <item x="30"/>
        <item x="0"/>
        <item t="default"/>
      </items>
    </pivotField>
    <pivotField showAll="0"/>
    <pivotField showAll="0"/>
    <pivotField showAll="0"/>
    <pivotField showAll="0">
      <items count="5">
        <item x="1"/>
        <item x="2"/>
        <item x="3"/>
        <item x="0"/>
        <item t="default"/>
      </items>
    </pivotField>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Cleaned admission" fld="7" baseField="1" baseItem="0"/>
  </dataFields>
  <chartFormats count="1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 chart="2" format="18">
      <pivotArea type="data" outline="0" fieldPosition="0">
        <references count="2">
          <reference field="4294967294" count="1" selected="0">
            <x v="0"/>
          </reference>
          <reference field="1" count="1" selected="0">
            <x v="5"/>
          </reference>
        </references>
      </pivotArea>
    </chartFormat>
    <chartFormat chart="2" format="19">
      <pivotArea type="data" outline="0" fieldPosition="0">
        <references count="2">
          <reference field="4294967294" count="1" selected="0">
            <x v="0"/>
          </reference>
          <reference field="1" count="1" selected="0">
            <x v="6"/>
          </reference>
        </references>
      </pivotArea>
    </chartFormat>
    <chartFormat chart="2" format="20">
      <pivotArea type="data" outline="0" fieldPosition="0">
        <references count="2">
          <reference field="4294967294" count="1" selected="0">
            <x v="0"/>
          </reference>
          <reference field="1" count="1" selected="0">
            <x v="7"/>
          </reference>
        </references>
      </pivotArea>
    </chartFormat>
    <chartFormat chart="2" format="21">
      <pivotArea type="data" outline="0" fieldPosition="0">
        <references count="2">
          <reference field="4294967294" count="1" selected="0">
            <x v="0"/>
          </reference>
          <reference field="1" count="1" selected="0">
            <x v="8"/>
          </reference>
        </references>
      </pivotArea>
    </chartFormat>
    <chartFormat chart="2" format="2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837059-5829-4E47-9895-06122A0A525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axis="axisRow" showAll="0" measureFilter="1">
      <items count="9">
        <item x="4"/>
        <item x="3"/>
        <item x="1"/>
        <item x="6"/>
        <item x="5"/>
        <item x="2"/>
        <item x="7"/>
        <item x="0"/>
        <item t="default"/>
      </items>
    </pivotField>
    <pivotField showAll="0"/>
    <pivotField showAll="0"/>
    <pivotField showAll="0"/>
    <pivotField showAll="0"/>
    <pivotField showAll="0"/>
    <pivotField showAll="0"/>
    <pivotField dataField="1" showAll="0"/>
    <pivotField showAll="0"/>
  </pivotFields>
  <rowFields count="1">
    <field x="0"/>
  </rowFields>
  <rowItems count="6">
    <i>
      <x/>
    </i>
    <i>
      <x v="1"/>
    </i>
    <i>
      <x v="2"/>
    </i>
    <i>
      <x v="3"/>
    </i>
    <i>
      <x v="4"/>
    </i>
    <i t="grand">
      <x/>
    </i>
  </rowItems>
  <colItems count="1">
    <i/>
  </colItems>
  <dataFields count="1">
    <dataField name="Sum of Cleaned admission"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810452E4-0297-45F3-98DB-C50C82696DCA}" sourceName="Qtr">
  <pivotTables>
    <pivotTable tabId="5" name="PivotTable2"/>
  </pivotTables>
  <data>
    <tabular pivotCacheId="1825119329">
      <items count="5">
        <i x="1" s="1"/>
        <i x="2" s="1"/>
        <i x="3" s="1"/>
        <i x="4"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3CED039-A5D3-44CF-B2BD-8DE1D6AE6ACE}" sourceName="City">
  <pivotTables>
    <pivotTable tabId="5" name="PivotTable2"/>
    <pivotTable tabId="4" name="PivotTable1"/>
    <pivotTable tabId="6" name="PivotTable3"/>
  </pivotTables>
  <data>
    <tabular pivotCacheId="1825119329">
      <items count="31">
        <i x="1" s="1"/>
        <i x="2" s="1"/>
        <i x="3" s="1"/>
        <i x="4" s="1"/>
        <i x="5" s="1"/>
        <i x="6" s="1"/>
        <i x="7" s="1"/>
        <i x="8" s="1"/>
        <i x="9" s="1"/>
        <i x="10" s="1"/>
        <i x="11" s="1"/>
        <i x="12" s="1"/>
        <i x="13" s="1"/>
        <i x="14" s="1"/>
        <i x="15" s="1"/>
        <i x="16" s="1"/>
        <i x="17" s="1"/>
        <i x="18" s="1"/>
        <i x="19" s="1"/>
        <i x="20" s="1"/>
        <i x="21" s="1"/>
        <i x="22" s="1"/>
        <i x="23" s="1"/>
        <i x="24" s="1"/>
        <i x="25" s="1"/>
        <i x="26" s="1"/>
        <i x="27" s="1"/>
        <i x="28" s="1"/>
        <i x="29" s="1"/>
        <i x="30"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_Year_End_Date" xr10:uid="{044A0AE3-3970-4EEE-AD74-9F48B25344FA}" sourceName="Report Year End Date">
  <pivotTables>
    <pivotTable tabId="5" name="PivotTable2"/>
    <pivotTable tabId="4" name="PivotTable1"/>
    <pivotTable tabId="6" name="PivotTable3"/>
  </pivotTables>
  <data>
    <tabular pivotCacheId="1825119329">
      <items count="4">
        <i x="1" s="1"/>
        <i x="2" s="1"/>
        <i x="3"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xr10:uid="{061EB1D2-60F6-4DFF-BB33-EAA6813586C7}" cache="Slicer_Qtr" caption="Qtr" rowHeight="225425"/>
  <slicer name="City" xr10:uid="{647D830C-F037-49F9-8B70-73D62FD39DE2}" cache="Slicer_City" caption="City" startItem="7" rowHeight="225425"/>
  <slicer name="Report Year End Date" xr10:uid="{C1DA13C0-FDE5-4596-B915-4CB88F9A0F19}" cache="Slicer_Report_Year_End_Date" caption="Report Year End Dat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3D7A3F2-D84B-4CCA-9293-021067F28A1D}" cache="Slicer_City" caption="City" startItem="7" rowHeight="225425"/>
  <slicer name="Report Year End Date 1" xr10:uid="{7744FB60-15B4-4811-86F4-22F362372909}" cache="Slicer_Report_Year_End_Date" caption="Report Year End Date" rowHeight="225425"/>
  <slicer name="Report Year End Date 2" xr10:uid="{1C7BF2E0-7862-4132-B669-A0FBDD2896BC}" cache="Slicer_Report_Year_End_Date" caption="Report Year End Date"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A20B39-C74E-4A89-BF32-A83FF5ECC4A6}" name="Table1" displayName="Table1" ref="B1:J98" totalsRowShown="0" headerRowDxfId="3">
  <autoFilter ref="B1:J98" xr:uid="{3BA20B39-C74E-4A89-BF32-A83FF5ECC4A6}"/>
  <tableColumns count="9">
    <tableColumn id="1" xr3:uid="{7E39B79D-4112-4051-B1D1-1173DC5BCC5E}" name="Hospital Name"/>
    <tableColumn id="2" xr3:uid="{E8E30817-73DD-4C04-B80A-199C4E58AEB2}" name="Affiliation"/>
    <tableColumn id="3" xr3:uid="{C02C8D47-7FCE-42A5-845F-7BDFAE299C3A}" name="City"/>
    <tableColumn id="4" xr3:uid="{8AACCC6A-7D32-4B35-9F6B-B81FD9C165CD}" name="County"/>
    <tableColumn id="5" xr3:uid="{36F428F6-F5CB-4DE6-8375-FE0D8F2ACCFE}" name="Qtr"/>
    <tableColumn id="10" xr3:uid="{FD2B6B37-55A8-472D-91FE-87526FF3976E}" name="Quarter" dataDxfId="0">
      <calculatedColumnFormula>"Q"&amp;F2</calculatedColumnFormula>
    </tableColumn>
    <tableColumn id="6" xr3:uid="{79E59FE1-38B4-4165-9CB8-995D2E159A80}" name="Report Year End Date"/>
    <tableColumn id="8" xr3:uid="{445DF69E-2652-444B-A32F-5B2D70A5F17B}" name="Cleaned admission" dataDxfId="2">
      <calculatedColumnFormula>_xlfn.NUMBERVALUE(SUBSTITUTE(J2,",",""))</calculatedColumnFormula>
    </tableColumn>
    <tableColumn id="7" xr3:uid="{B17BFC5B-E31E-4AE6-9C72-85EA01A84E8B}" name="Admission" dataDxfId="1" dataCellStyle="Comma"/>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65E3-994E-4504-BB24-5C8DD468AB0A}">
  <dimension ref="A1:L30"/>
  <sheetViews>
    <sheetView workbookViewId="0">
      <selection activeCell="J31" sqref="J31"/>
    </sheetView>
  </sheetViews>
  <sheetFormatPr defaultRowHeight="12.75" x14ac:dyDescent="0.2"/>
  <cols>
    <col min="1" max="1" width="25.85546875" bestFit="1" customWidth="1"/>
    <col min="2" max="2" width="20.140625" bestFit="1" customWidth="1"/>
    <col min="3" max="3" width="24.5703125" bestFit="1" customWidth="1"/>
    <col min="4" max="4" width="25.28515625" bestFit="1" customWidth="1"/>
    <col min="5" max="5" width="35.140625" bestFit="1" customWidth="1"/>
    <col min="6" max="6" width="15" bestFit="1" customWidth="1"/>
    <col min="7" max="7" width="17.7109375" bestFit="1" customWidth="1"/>
    <col min="8" max="8" width="11.5703125" bestFit="1" customWidth="1"/>
    <col min="9" max="9" width="12.7109375" bestFit="1" customWidth="1"/>
    <col min="10" max="10" width="25.28515625" bestFit="1" customWidth="1"/>
    <col min="11" max="11" width="14.7109375" bestFit="1" customWidth="1"/>
    <col min="12" max="12" width="11.7109375" bestFit="1" customWidth="1"/>
  </cols>
  <sheetData>
    <row r="1" spans="1:12" x14ac:dyDescent="0.2">
      <c r="A1" s="10" t="s">
        <v>5</v>
      </c>
      <c r="B1" t="s">
        <v>83</v>
      </c>
    </row>
    <row r="3" spans="1:12" x14ac:dyDescent="0.2">
      <c r="A3" s="10" t="s">
        <v>85</v>
      </c>
      <c r="B3" s="10" t="s">
        <v>82</v>
      </c>
    </row>
    <row r="4" spans="1:12" x14ac:dyDescent="0.2">
      <c r="A4" s="10" t="s">
        <v>80</v>
      </c>
      <c r="B4" t="s">
        <v>56</v>
      </c>
      <c r="C4" t="s">
        <v>38</v>
      </c>
      <c r="D4" t="s">
        <v>45</v>
      </c>
      <c r="E4" t="s">
        <v>20</v>
      </c>
      <c r="F4" t="s">
        <v>8</v>
      </c>
      <c r="G4" t="s">
        <v>58</v>
      </c>
      <c r="H4" t="s">
        <v>14</v>
      </c>
      <c r="I4" t="s">
        <v>12</v>
      </c>
      <c r="J4" t="s">
        <v>28</v>
      </c>
      <c r="K4" t="s">
        <v>35</v>
      </c>
      <c r="L4" t="s">
        <v>81</v>
      </c>
    </row>
    <row r="5" spans="1:12" x14ac:dyDescent="0.2">
      <c r="A5" s="11">
        <v>1</v>
      </c>
      <c r="B5" s="12"/>
      <c r="C5" s="12"/>
      <c r="D5" s="12"/>
      <c r="E5" s="12">
        <v>1237</v>
      </c>
      <c r="F5" s="12">
        <v>59</v>
      </c>
      <c r="G5" s="12"/>
      <c r="H5" s="12">
        <v>342</v>
      </c>
      <c r="I5" s="12">
        <v>967</v>
      </c>
      <c r="J5" s="12"/>
      <c r="K5" s="12"/>
      <c r="L5" s="12">
        <v>2605</v>
      </c>
    </row>
    <row r="6" spans="1:12" x14ac:dyDescent="0.2">
      <c r="A6" s="11">
        <v>2</v>
      </c>
      <c r="B6" s="12"/>
      <c r="C6" s="12"/>
      <c r="D6" s="12">
        <v>162</v>
      </c>
      <c r="E6" s="12">
        <v>193</v>
      </c>
      <c r="F6" s="12">
        <v>366</v>
      </c>
      <c r="G6" s="12"/>
      <c r="H6" s="12"/>
      <c r="I6" s="12">
        <v>1809</v>
      </c>
      <c r="J6" s="12">
        <v>1049</v>
      </c>
      <c r="K6" s="12">
        <v>1112</v>
      </c>
      <c r="L6" s="12">
        <v>4691</v>
      </c>
    </row>
    <row r="7" spans="1:12" x14ac:dyDescent="0.2">
      <c r="A7" s="11">
        <v>3</v>
      </c>
      <c r="B7" s="12">
        <v>312</v>
      </c>
      <c r="C7" s="12">
        <v>92</v>
      </c>
      <c r="D7" s="12"/>
      <c r="E7" s="12"/>
      <c r="F7" s="12">
        <v>288</v>
      </c>
      <c r="G7" s="12">
        <v>350</v>
      </c>
      <c r="H7" s="12"/>
      <c r="I7" s="12">
        <v>324</v>
      </c>
      <c r="J7" s="12"/>
      <c r="K7" s="12"/>
      <c r="L7" s="12">
        <v>1366</v>
      </c>
    </row>
    <row r="8" spans="1:12" x14ac:dyDescent="0.2">
      <c r="A8" s="11">
        <v>4</v>
      </c>
      <c r="B8" s="12">
        <v>625</v>
      </c>
      <c r="C8" s="12"/>
      <c r="D8" s="12"/>
      <c r="E8" s="12"/>
      <c r="F8" s="12"/>
      <c r="G8" s="12"/>
      <c r="H8" s="12">
        <v>64</v>
      </c>
      <c r="I8" s="12">
        <v>487</v>
      </c>
      <c r="J8" s="12"/>
      <c r="K8" s="12">
        <v>100</v>
      </c>
      <c r="L8" s="12">
        <v>1276</v>
      </c>
    </row>
    <row r="9" spans="1:12" x14ac:dyDescent="0.2">
      <c r="A9" s="11" t="s">
        <v>81</v>
      </c>
      <c r="B9" s="12">
        <v>937</v>
      </c>
      <c r="C9" s="12">
        <v>92</v>
      </c>
      <c r="D9" s="12">
        <v>162</v>
      </c>
      <c r="E9" s="12">
        <v>1430</v>
      </c>
      <c r="F9" s="12">
        <v>713</v>
      </c>
      <c r="G9" s="12">
        <v>350</v>
      </c>
      <c r="H9" s="12">
        <v>406</v>
      </c>
      <c r="I9" s="12">
        <v>3587</v>
      </c>
      <c r="J9" s="12">
        <v>1049</v>
      </c>
      <c r="K9" s="12">
        <v>1212</v>
      </c>
      <c r="L9" s="12">
        <v>9938</v>
      </c>
    </row>
    <row r="28" spans="9:10" x14ac:dyDescent="0.2">
      <c r="I28" s="2" t="s">
        <v>86</v>
      </c>
    </row>
    <row r="29" spans="9:10" x14ac:dyDescent="0.2">
      <c r="I29" s="2" t="s">
        <v>87</v>
      </c>
      <c r="J29">
        <f>SUM('Admissions by Payer'!I3:I98)</f>
        <v>9938</v>
      </c>
    </row>
    <row r="30" spans="9:10" x14ac:dyDescent="0.2">
      <c r="I30" s="2" t="s">
        <v>88</v>
      </c>
      <c r="J30">
        <f>COUNTA(_xlfn.UNIQUE(Table1[Hospital Name]))</f>
        <v>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50F53-CA05-4D72-AC22-88C2C69AC685}">
  <dimension ref="A3:B28"/>
  <sheetViews>
    <sheetView workbookViewId="0">
      <selection activeCell="B6" sqref="B6"/>
    </sheetView>
  </sheetViews>
  <sheetFormatPr defaultRowHeight="12.75" x14ac:dyDescent="0.2"/>
  <cols>
    <col min="1" max="1" width="17.7109375" bestFit="1" customWidth="1"/>
    <col min="2" max="2" width="27" bestFit="1" customWidth="1"/>
  </cols>
  <sheetData>
    <row r="3" spans="1:2" x14ac:dyDescent="0.2">
      <c r="A3" s="10" t="s">
        <v>80</v>
      </c>
      <c r="B3" t="s">
        <v>84</v>
      </c>
    </row>
    <row r="4" spans="1:2" x14ac:dyDescent="0.2">
      <c r="A4" s="11" t="s">
        <v>42</v>
      </c>
      <c r="B4" s="12">
        <v>9</v>
      </c>
    </row>
    <row r="5" spans="1:2" x14ac:dyDescent="0.2">
      <c r="A5" s="11" t="s">
        <v>33</v>
      </c>
      <c r="B5" s="12">
        <v>6</v>
      </c>
    </row>
    <row r="6" spans="1:2" x14ac:dyDescent="0.2">
      <c r="A6" s="11" t="s">
        <v>19</v>
      </c>
      <c r="B6" s="12">
        <v>6</v>
      </c>
    </row>
    <row r="7" spans="1:2" x14ac:dyDescent="0.2">
      <c r="A7" s="11" t="s">
        <v>23</v>
      </c>
      <c r="B7" s="12">
        <v>6</v>
      </c>
    </row>
    <row r="8" spans="1:2" x14ac:dyDescent="0.2">
      <c r="A8" s="11" t="s">
        <v>26</v>
      </c>
      <c r="B8" s="12">
        <v>6</v>
      </c>
    </row>
    <row r="9" spans="1:2" x14ac:dyDescent="0.2">
      <c r="A9" s="11" t="s">
        <v>44</v>
      </c>
      <c r="B9" s="12">
        <v>6</v>
      </c>
    </row>
    <row r="10" spans="1:2" x14ac:dyDescent="0.2">
      <c r="A10" s="11" t="s">
        <v>22</v>
      </c>
      <c r="B10" s="12">
        <v>6</v>
      </c>
    </row>
    <row r="11" spans="1:2" x14ac:dyDescent="0.2">
      <c r="A11" s="11" t="s">
        <v>75</v>
      </c>
      <c r="B11" s="12">
        <v>3</v>
      </c>
    </row>
    <row r="12" spans="1:2" x14ac:dyDescent="0.2">
      <c r="A12" s="11" t="s">
        <v>30</v>
      </c>
      <c r="B12" s="12">
        <v>3</v>
      </c>
    </row>
    <row r="13" spans="1:2" x14ac:dyDescent="0.2">
      <c r="A13" s="11" t="s">
        <v>10</v>
      </c>
      <c r="B13" s="12">
        <v>3</v>
      </c>
    </row>
    <row r="14" spans="1:2" x14ac:dyDescent="0.2">
      <c r="A14" s="11" t="s">
        <v>50</v>
      </c>
      <c r="B14" s="12">
        <v>3</v>
      </c>
    </row>
    <row r="15" spans="1:2" x14ac:dyDescent="0.2">
      <c r="A15" s="11" t="s">
        <v>60</v>
      </c>
      <c r="B15" s="12">
        <v>3</v>
      </c>
    </row>
    <row r="16" spans="1:2" x14ac:dyDescent="0.2">
      <c r="A16" s="11" t="s">
        <v>16</v>
      </c>
      <c r="B16" s="12">
        <v>3</v>
      </c>
    </row>
    <row r="17" spans="1:2" x14ac:dyDescent="0.2">
      <c r="A17" s="11" t="s">
        <v>40</v>
      </c>
      <c r="B17" s="12">
        <v>3</v>
      </c>
    </row>
    <row r="18" spans="1:2" x14ac:dyDescent="0.2">
      <c r="A18" s="11" t="s">
        <v>53</v>
      </c>
      <c r="B18" s="12">
        <v>3</v>
      </c>
    </row>
    <row r="19" spans="1:2" x14ac:dyDescent="0.2">
      <c r="A19" s="11" t="s">
        <v>72</v>
      </c>
      <c r="B19" s="12">
        <v>3</v>
      </c>
    </row>
    <row r="20" spans="1:2" x14ac:dyDescent="0.2">
      <c r="A20" s="11" t="s">
        <v>64</v>
      </c>
      <c r="B20" s="12">
        <v>3</v>
      </c>
    </row>
    <row r="21" spans="1:2" x14ac:dyDescent="0.2">
      <c r="A21" s="11" t="s">
        <v>68</v>
      </c>
      <c r="B21" s="12">
        <v>3</v>
      </c>
    </row>
    <row r="22" spans="1:2" x14ac:dyDescent="0.2">
      <c r="A22" s="11" t="s">
        <v>62</v>
      </c>
      <c r="B22" s="12">
        <v>3</v>
      </c>
    </row>
    <row r="23" spans="1:2" x14ac:dyDescent="0.2">
      <c r="A23" s="11" t="s">
        <v>37</v>
      </c>
      <c r="B23" s="12">
        <v>3</v>
      </c>
    </row>
    <row r="24" spans="1:2" x14ac:dyDescent="0.2">
      <c r="A24" s="11" t="s">
        <v>48</v>
      </c>
      <c r="B24" s="12">
        <v>3</v>
      </c>
    </row>
    <row r="25" spans="1:2" x14ac:dyDescent="0.2">
      <c r="A25" s="11" t="s">
        <v>66</v>
      </c>
      <c r="B25" s="12">
        <v>3</v>
      </c>
    </row>
    <row r="26" spans="1:2" x14ac:dyDescent="0.2">
      <c r="A26" s="11" t="s">
        <v>13</v>
      </c>
      <c r="B26" s="12">
        <v>3</v>
      </c>
    </row>
    <row r="27" spans="1:2" x14ac:dyDescent="0.2">
      <c r="A27" s="11" t="s">
        <v>55</v>
      </c>
      <c r="B27" s="12">
        <v>3</v>
      </c>
    </row>
    <row r="28" spans="1:2" x14ac:dyDescent="0.2">
      <c r="A28" s="11" t="s">
        <v>81</v>
      </c>
      <c r="B28" s="12">
        <v>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2D29-C32D-4E00-8E3D-6AF1469DD879}">
  <dimension ref="A3:B14"/>
  <sheetViews>
    <sheetView workbookViewId="0">
      <selection activeCell="K30" sqref="K30"/>
    </sheetView>
  </sheetViews>
  <sheetFormatPr defaultRowHeight="12.75" x14ac:dyDescent="0.2"/>
  <cols>
    <col min="1" max="1" width="32.5703125" bestFit="1" customWidth="1"/>
    <col min="2" max="2" width="25.85546875" bestFit="1" customWidth="1"/>
  </cols>
  <sheetData>
    <row r="3" spans="1:2" x14ac:dyDescent="0.2">
      <c r="A3" s="10" t="s">
        <v>80</v>
      </c>
      <c r="B3" t="s">
        <v>85</v>
      </c>
    </row>
    <row r="4" spans="1:2" x14ac:dyDescent="0.2">
      <c r="A4" s="11" t="s">
        <v>56</v>
      </c>
      <c r="B4" s="12">
        <v>937</v>
      </c>
    </row>
    <row r="5" spans="1:2" x14ac:dyDescent="0.2">
      <c r="A5" s="11" t="s">
        <v>38</v>
      </c>
      <c r="B5" s="12">
        <v>92</v>
      </c>
    </row>
    <row r="6" spans="1:2" x14ac:dyDescent="0.2">
      <c r="A6" s="11" t="s">
        <v>45</v>
      </c>
      <c r="B6" s="12">
        <v>162</v>
      </c>
    </row>
    <row r="7" spans="1:2" x14ac:dyDescent="0.2">
      <c r="A7" s="11" t="s">
        <v>20</v>
      </c>
      <c r="B7" s="12">
        <v>1430</v>
      </c>
    </row>
    <row r="8" spans="1:2" x14ac:dyDescent="0.2">
      <c r="A8" s="11" t="s">
        <v>8</v>
      </c>
      <c r="B8" s="12">
        <v>713</v>
      </c>
    </row>
    <row r="9" spans="1:2" x14ac:dyDescent="0.2">
      <c r="A9" s="11" t="s">
        <v>58</v>
      </c>
      <c r="B9" s="12">
        <v>350</v>
      </c>
    </row>
    <row r="10" spans="1:2" x14ac:dyDescent="0.2">
      <c r="A10" s="11" t="s">
        <v>14</v>
      </c>
      <c r="B10" s="12">
        <v>406</v>
      </c>
    </row>
    <row r="11" spans="1:2" x14ac:dyDescent="0.2">
      <c r="A11" s="11" t="s">
        <v>12</v>
      </c>
      <c r="B11" s="12">
        <v>3587</v>
      </c>
    </row>
    <row r="12" spans="1:2" x14ac:dyDescent="0.2">
      <c r="A12" s="11" t="s">
        <v>28</v>
      </c>
      <c r="B12" s="12">
        <v>1049</v>
      </c>
    </row>
    <row r="13" spans="1:2" x14ac:dyDescent="0.2">
      <c r="A13" s="11" t="s">
        <v>35</v>
      </c>
      <c r="B13" s="12">
        <v>1212</v>
      </c>
    </row>
    <row r="14" spans="1:2" x14ac:dyDescent="0.2">
      <c r="A14" s="11" t="s">
        <v>81</v>
      </c>
      <c r="B14" s="12">
        <v>9938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4962-FD61-4B04-918F-704AD3C0DF87}">
  <dimension ref="A3:B9"/>
  <sheetViews>
    <sheetView workbookViewId="0">
      <selection activeCell="G39" sqref="G39"/>
    </sheetView>
  </sheetViews>
  <sheetFormatPr defaultRowHeight="12.75" x14ac:dyDescent="0.2"/>
  <cols>
    <col min="1" max="1" width="28.42578125" bestFit="1" customWidth="1"/>
    <col min="2" max="2" width="25.85546875" bestFit="1" customWidth="1"/>
  </cols>
  <sheetData>
    <row r="3" spans="1:2" x14ac:dyDescent="0.2">
      <c r="A3" s="10" t="s">
        <v>80</v>
      </c>
      <c r="B3" t="s">
        <v>85</v>
      </c>
    </row>
    <row r="4" spans="1:2" x14ac:dyDescent="0.2">
      <c r="A4" s="11" t="s">
        <v>17</v>
      </c>
      <c r="B4" s="12">
        <v>2753</v>
      </c>
    </row>
    <row r="5" spans="1:2" x14ac:dyDescent="0.2">
      <c r="A5" s="11" t="s">
        <v>24</v>
      </c>
      <c r="B5" s="12">
        <v>2129</v>
      </c>
    </row>
    <row r="6" spans="1:2" x14ac:dyDescent="0.2">
      <c r="A6" s="11" t="s">
        <v>7</v>
      </c>
      <c r="B6" s="12">
        <v>1292</v>
      </c>
    </row>
    <row r="7" spans="1:2" x14ac:dyDescent="0.2">
      <c r="A7" s="11" t="s">
        <v>31</v>
      </c>
      <c r="B7" s="12">
        <v>974</v>
      </c>
    </row>
    <row r="8" spans="1:2" x14ac:dyDescent="0.2">
      <c r="A8" s="11" t="s">
        <v>27</v>
      </c>
      <c r="B8" s="12">
        <v>1259</v>
      </c>
    </row>
    <row r="9" spans="1:2" x14ac:dyDescent="0.2">
      <c r="A9" s="11" t="s">
        <v>81</v>
      </c>
      <c r="B9" s="12">
        <v>8407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6EF70-1D08-488E-B9BC-74C1270CD637}">
  <dimension ref="A1"/>
  <sheetViews>
    <sheetView showGridLines="0" tabSelected="1" workbookViewId="0">
      <selection activeCell="W3" sqref="W3"/>
    </sheetView>
  </sheetViews>
  <sheetFormatPr defaultRowHeight="12.75" x14ac:dyDescent="0.2"/>
  <cols>
    <col min="11" max="11" width="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59"/>
  <sheetViews>
    <sheetView topLeftCell="B1" zoomScale="78" zoomScaleNormal="58" workbookViewId="0">
      <selection activeCell="B1" sqref="B1:J98"/>
    </sheetView>
  </sheetViews>
  <sheetFormatPr defaultColWidth="0" defaultRowHeight="12.75" zeroHeight="1" x14ac:dyDescent="0.2"/>
  <cols>
    <col min="1" max="1" width="10" style="5" hidden="1" customWidth="1"/>
    <col min="2" max="2" width="42.28515625" style="2" customWidth="1"/>
    <col min="3" max="3" width="26.7109375" style="2" customWidth="1"/>
    <col min="4" max="7" width="17.7109375" style="2" customWidth="1"/>
    <col min="8" max="9" width="25.28515625" style="2" customWidth="1"/>
    <col min="10" max="10" width="19.42578125" style="2" customWidth="1"/>
    <col min="11" max="28" width="0" hidden="1" customWidth="1"/>
    <col min="29" max="16384" width="9.140625" hidden="1"/>
  </cols>
  <sheetData>
    <row r="1" spans="1:10" x14ac:dyDescent="0.2">
      <c r="A1" s="7" t="s">
        <v>1</v>
      </c>
      <c r="B1" s="3" t="s">
        <v>0</v>
      </c>
      <c r="C1" s="1" t="s">
        <v>3</v>
      </c>
      <c r="D1" s="3" t="s">
        <v>2</v>
      </c>
      <c r="E1" s="1" t="s">
        <v>4</v>
      </c>
      <c r="F1" s="1" t="s">
        <v>77</v>
      </c>
      <c r="G1" s="1" t="s">
        <v>79</v>
      </c>
      <c r="H1" s="4" t="s">
        <v>5</v>
      </c>
      <c r="I1" s="4" t="s">
        <v>78</v>
      </c>
      <c r="J1" s="4" t="s">
        <v>76</v>
      </c>
    </row>
    <row r="2" spans="1:10" hidden="1" x14ac:dyDescent="0.2">
      <c r="A2" s="6"/>
      <c r="B2" s="3"/>
      <c r="C2" s="3"/>
      <c r="D2" s="3"/>
      <c r="E2" s="3"/>
      <c r="F2" s="3"/>
      <c r="G2" s="3" t="str">
        <f t="shared" ref="G2:G33" si="0">"Q"&amp;F2</f>
        <v>Q</v>
      </c>
      <c r="H2" s="8"/>
      <c r="I2" s="8" t="e">
        <f>_xlfn.NUMBERVALUE(SUBSTITUTE(J2,",",""))</f>
        <v>#VALUE!</v>
      </c>
      <c r="J2" s="2" t="s">
        <v>6</v>
      </c>
    </row>
    <row r="3" spans="1:10" x14ac:dyDescent="0.2">
      <c r="A3">
        <v>3</v>
      </c>
      <c r="B3" t="s">
        <v>7</v>
      </c>
      <c r="C3" t="s">
        <v>8</v>
      </c>
      <c r="D3" t="s">
        <v>9</v>
      </c>
      <c r="E3" t="s">
        <v>10</v>
      </c>
      <c r="F3">
        <v>1</v>
      </c>
      <c r="G3" t="str">
        <f t="shared" si="0"/>
        <v>Q1</v>
      </c>
      <c r="H3">
        <v>2023</v>
      </c>
      <c r="I3">
        <f>_xlfn.NUMBERVALUE(SUBSTITUTE(J3,",",""))</f>
        <v>14</v>
      </c>
      <c r="J3" s="9">
        <v>14</v>
      </c>
    </row>
    <row r="4" spans="1:10" x14ac:dyDescent="0.2">
      <c r="A4">
        <v>4</v>
      </c>
      <c r="B4" t="s">
        <v>11</v>
      </c>
      <c r="C4" t="s">
        <v>12</v>
      </c>
      <c r="D4" t="s">
        <v>13</v>
      </c>
      <c r="E4" t="s">
        <v>13</v>
      </c>
      <c r="F4">
        <v>1</v>
      </c>
      <c r="G4" t="str">
        <f t="shared" si="0"/>
        <v>Q1</v>
      </c>
      <c r="H4">
        <v>2023</v>
      </c>
      <c r="I4">
        <f>_xlfn.NUMBERVALUE(SUBSTITUTE(J4,",",""))</f>
        <v>25</v>
      </c>
      <c r="J4" s="9">
        <v>25</v>
      </c>
    </row>
    <row r="5" spans="1:10" x14ac:dyDescent="0.2">
      <c r="A5">
        <v>100</v>
      </c>
      <c r="B5" t="s">
        <v>24</v>
      </c>
      <c r="C5" t="s">
        <v>14</v>
      </c>
      <c r="D5" t="s">
        <v>15</v>
      </c>
      <c r="E5" t="s">
        <v>16</v>
      </c>
      <c r="F5">
        <v>1</v>
      </c>
      <c r="G5" t="str">
        <f t="shared" si="0"/>
        <v>Q1</v>
      </c>
      <c r="H5">
        <v>2023</v>
      </c>
      <c r="I5">
        <f>_xlfn.NUMBERVALUE(SUBSTITUTE(J5,",",""))</f>
        <v>159</v>
      </c>
      <c r="J5" s="9">
        <v>159</v>
      </c>
    </row>
    <row r="6" spans="1:10" x14ac:dyDescent="0.2">
      <c r="A6">
        <v>34</v>
      </c>
      <c r="B6" t="s">
        <v>17</v>
      </c>
      <c r="C6" t="s">
        <v>12</v>
      </c>
      <c r="D6" t="s">
        <v>18</v>
      </c>
      <c r="E6" t="s">
        <v>19</v>
      </c>
      <c r="F6">
        <v>1</v>
      </c>
      <c r="G6" t="str">
        <f t="shared" si="0"/>
        <v>Q1</v>
      </c>
      <c r="H6">
        <v>2023</v>
      </c>
      <c r="I6">
        <f>_xlfn.NUMBERVALUE(SUBSTITUTE(J6,",",""))</f>
        <v>127</v>
      </c>
      <c r="J6" s="9">
        <v>127</v>
      </c>
    </row>
    <row r="7" spans="1:10" x14ac:dyDescent="0.2">
      <c r="A7">
        <v>248</v>
      </c>
      <c r="B7" t="s">
        <v>27</v>
      </c>
      <c r="C7" t="s">
        <v>20</v>
      </c>
      <c r="D7" t="s">
        <v>18</v>
      </c>
      <c r="E7" t="s">
        <v>19</v>
      </c>
      <c r="F7">
        <v>1</v>
      </c>
      <c r="G7" t="str">
        <f t="shared" si="0"/>
        <v>Q1</v>
      </c>
      <c r="H7">
        <v>2023</v>
      </c>
      <c r="I7">
        <f>_xlfn.NUMBERVALUE(SUBSTITUTE(J7,",",""))</f>
        <v>16</v>
      </c>
      <c r="J7" s="9">
        <v>16</v>
      </c>
    </row>
    <row r="8" spans="1:10" x14ac:dyDescent="0.2">
      <c r="A8">
        <v>249</v>
      </c>
      <c r="B8" t="s">
        <v>31</v>
      </c>
      <c r="C8" t="s">
        <v>20</v>
      </c>
      <c r="D8" t="s">
        <v>21</v>
      </c>
      <c r="E8" t="s">
        <v>22</v>
      </c>
      <c r="F8">
        <v>1</v>
      </c>
      <c r="G8" t="str">
        <f t="shared" si="0"/>
        <v>Q1</v>
      </c>
      <c r="H8">
        <v>2023</v>
      </c>
      <c r="I8">
        <f>_xlfn.NUMBERVALUE(SUBSTITUTE(J8,",",""))</f>
        <v>16</v>
      </c>
      <c r="J8" s="9">
        <v>16</v>
      </c>
    </row>
    <row r="9" spans="1:10" x14ac:dyDescent="0.2">
      <c r="A9">
        <v>200</v>
      </c>
      <c r="B9" t="s">
        <v>34</v>
      </c>
      <c r="C9" t="s">
        <v>20</v>
      </c>
      <c r="D9" t="s">
        <v>23</v>
      </c>
      <c r="E9" t="s">
        <v>23</v>
      </c>
      <c r="F9">
        <v>1</v>
      </c>
      <c r="G9" t="str">
        <f t="shared" si="0"/>
        <v>Q1</v>
      </c>
      <c r="H9">
        <v>2023</v>
      </c>
      <c r="I9">
        <f>_xlfn.NUMBERVALUE(SUBSTITUTE(J9,",",""))</f>
        <v>175</v>
      </c>
      <c r="J9" s="9">
        <v>175</v>
      </c>
    </row>
    <row r="10" spans="1:10" x14ac:dyDescent="0.2">
      <c r="A10">
        <v>6</v>
      </c>
      <c r="B10" t="s">
        <v>24</v>
      </c>
      <c r="C10" t="s">
        <v>12</v>
      </c>
      <c r="D10" t="s">
        <v>25</v>
      </c>
      <c r="E10" t="s">
        <v>26</v>
      </c>
      <c r="F10">
        <v>1</v>
      </c>
      <c r="G10" t="str">
        <f t="shared" si="0"/>
        <v>Q1</v>
      </c>
      <c r="H10">
        <v>2023</v>
      </c>
      <c r="I10">
        <f>_xlfn.NUMBERVALUE(SUBSTITUTE(J10,",",""))</f>
        <v>15</v>
      </c>
      <c r="J10" s="9">
        <v>15</v>
      </c>
    </row>
    <row r="11" spans="1:10" x14ac:dyDescent="0.2">
      <c r="A11">
        <v>7</v>
      </c>
      <c r="B11" t="s">
        <v>7</v>
      </c>
      <c r="C11" t="s">
        <v>28</v>
      </c>
      <c r="D11" t="s">
        <v>29</v>
      </c>
      <c r="E11" t="s">
        <v>30</v>
      </c>
      <c r="F11">
        <v>2</v>
      </c>
      <c r="G11" t="str">
        <f t="shared" si="0"/>
        <v>Q2</v>
      </c>
      <c r="H11">
        <v>2023</v>
      </c>
      <c r="I11">
        <f>_xlfn.NUMBERVALUE(SUBSTITUTE(J11,",",""))</f>
        <v>20</v>
      </c>
      <c r="J11" s="9">
        <v>20</v>
      </c>
    </row>
    <row r="12" spans="1:10" x14ac:dyDescent="0.2">
      <c r="A12">
        <v>175</v>
      </c>
      <c r="B12" t="s">
        <v>11</v>
      </c>
      <c r="C12" t="s">
        <v>8</v>
      </c>
      <c r="D12" t="s">
        <v>32</v>
      </c>
      <c r="E12" t="s">
        <v>33</v>
      </c>
      <c r="F12">
        <v>2</v>
      </c>
      <c r="G12" t="str">
        <f t="shared" si="0"/>
        <v>Q2</v>
      </c>
      <c r="H12">
        <v>2023</v>
      </c>
      <c r="I12">
        <f>_xlfn.NUMBERVALUE(SUBSTITUTE(J12,",",""))</f>
        <v>16</v>
      </c>
      <c r="J12" s="9">
        <v>16</v>
      </c>
    </row>
    <row r="13" spans="1:10" x14ac:dyDescent="0.2">
      <c r="A13">
        <v>19</v>
      </c>
      <c r="B13" t="s">
        <v>24</v>
      </c>
      <c r="C13" t="s">
        <v>35</v>
      </c>
      <c r="D13" t="s">
        <v>36</v>
      </c>
      <c r="E13" t="s">
        <v>37</v>
      </c>
      <c r="F13">
        <v>2</v>
      </c>
      <c r="G13" t="str">
        <f t="shared" si="0"/>
        <v>Q2</v>
      </c>
      <c r="H13">
        <v>2023</v>
      </c>
      <c r="I13">
        <f>_xlfn.NUMBERVALUE(SUBSTITUTE(J13,",",""))</f>
        <v>25</v>
      </c>
      <c r="J13" s="9">
        <v>25</v>
      </c>
    </row>
    <row r="14" spans="1:10" x14ac:dyDescent="0.2">
      <c r="A14">
        <v>159</v>
      </c>
      <c r="B14" t="s">
        <v>17</v>
      </c>
      <c r="C14" t="s">
        <v>12</v>
      </c>
      <c r="D14" t="s">
        <v>39</v>
      </c>
      <c r="E14" t="s">
        <v>40</v>
      </c>
      <c r="F14">
        <v>2</v>
      </c>
      <c r="G14" t="str">
        <f t="shared" si="0"/>
        <v>Q2</v>
      </c>
      <c r="H14">
        <v>2023</v>
      </c>
      <c r="I14">
        <f>_xlfn.NUMBERVALUE(SUBSTITUTE(J14,",",""))</f>
        <v>15</v>
      </c>
      <c r="J14" s="9">
        <v>15</v>
      </c>
    </row>
    <row r="15" spans="1:10" x14ac:dyDescent="0.2">
      <c r="A15">
        <v>254</v>
      </c>
      <c r="B15" t="s">
        <v>27</v>
      </c>
      <c r="C15" t="s">
        <v>20</v>
      </c>
      <c r="D15" t="s">
        <v>41</v>
      </c>
      <c r="E15" t="s">
        <v>42</v>
      </c>
      <c r="F15">
        <v>2</v>
      </c>
      <c r="G15" t="str">
        <f t="shared" si="0"/>
        <v>Q2</v>
      </c>
      <c r="H15">
        <v>2023</v>
      </c>
      <c r="I15">
        <f>_xlfn.NUMBERVALUE(SUBSTITUTE(J15,",",""))</f>
        <v>16</v>
      </c>
      <c r="J15" s="9">
        <v>16</v>
      </c>
    </row>
    <row r="16" spans="1:10" x14ac:dyDescent="0.2">
      <c r="A16">
        <v>256</v>
      </c>
      <c r="B16" t="s">
        <v>31</v>
      </c>
      <c r="C16" t="s">
        <v>20</v>
      </c>
      <c r="D16" t="s">
        <v>43</v>
      </c>
      <c r="E16" t="s">
        <v>44</v>
      </c>
      <c r="F16">
        <v>2</v>
      </c>
      <c r="G16" t="str">
        <f t="shared" si="0"/>
        <v>Q2</v>
      </c>
      <c r="H16">
        <v>2023</v>
      </c>
      <c r="I16">
        <f>_xlfn.NUMBERVALUE(SUBSTITUTE(J16,",",""))</f>
        <v>16</v>
      </c>
      <c r="J16" s="9">
        <v>16</v>
      </c>
    </row>
    <row r="17" spans="1:10" hidden="1" x14ac:dyDescent="0.2">
      <c r="A17">
        <v>102</v>
      </c>
      <c r="B17" t="s">
        <v>34</v>
      </c>
      <c r="C17" t="s">
        <v>35</v>
      </c>
      <c r="D17" t="s">
        <v>43</v>
      </c>
      <c r="E17" t="s">
        <v>44</v>
      </c>
      <c r="F17">
        <v>2</v>
      </c>
      <c r="G17" t="str">
        <f t="shared" si="0"/>
        <v>Q2</v>
      </c>
      <c r="H17">
        <v>2023</v>
      </c>
      <c r="I17">
        <f>_xlfn.NUMBERVALUE(SUBSTITUTE(J17,",",""))</f>
        <v>118</v>
      </c>
      <c r="J17" s="9">
        <v>118</v>
      </c>
    </row>
    <row r="18" spans="1:10" x14ac:dyDescent="0.2">
      <c r="A18">
        <v>153</v>
      </c>
      <c r="B18" t="s">
        <v>24</v>
      </c>
      <c r="C18" t="s">
        <v>45</v>
      </c>
      <c r="D18" t="s">
        <v>46</v>
      </c>
      <c r="E18" t="s">
        <v>26</v>
      </c>
      <c r="F18">
        <v>2</v>
      </c>
      <c r="G18" t="str">
        <f t="shared" si="0"/>
        <v>Q2</v>
      </c>
      <c r="H18">
        <v>2023</v>
      </c>
      <c r="I18">
        <f>_xlfn.NUMBERVALUE(SUBSTITUTE(J18,",",""))</f>
        <v>21</v>
      </c>
      <c r="J18" s="9">
        <v>21</v>
      </c>
    </row>
    <row r="19" spans="1:10" x14ac:dyDescent="0.2">
      <c r="A19">
        <v>104</v>
      </c>
      <c r="B19" t="s">
        <v>7</v>
      </c>
      <c r="C19" t="s">
        <v>12</v>
      </c>
      <c r="D19" t="s">
        <v>47</v>
      </c>
      <c r="E19" t="s">
        <v>48</v>
      </c>
      <c r="F19">
        <v>3</v>
      </c>
      <c r="G19" t="str">
        <f t="shared" si="0"/>
        <v>Q3</v>
      </c>
      <c r="H19">
        <v>2023</v>
      </c>
      <c r="I19">
        <f>_xlfn.NUMBERVALUE(SUBSTITUTE(J19,",",""))</f>
        <v>20</v>
      </c>
      <c r="J19" s="9">
        <v>20</v>
      </c>
    </row>
    <row r="20" spans="1:10" x14ac:dyDescent="0.2">
      <c r="A20">
        <v>162</v>
      </c>
      <c r="B20" t="s">
        <v>11</v>
      </c>
      <c r="C20" t="s">
        <v>12</v>
      </c>
      <c r="D20" t="s">
        <v>49</v>
      </c>
      <c r="E20" t="s">
        <v>50</v>
      </c>
      <c r="F20">
        <v>3</v>
      </c>
      <c r="G20" t="str">
        <f t="shared" si="0"/>
        <v>Q3</v>
      </c>
      <c r="H20">
        <v>2023</v>
      </c>
      <c r="I20">
        <f>_xlfn.NUMBERVALUE(SUBSTITUTE(J20,",",""))</f>
        <v>43</v>
      </c>
      <c r="J20" s="9">
        <v>43</v>
      </c>
    </row>
    <row r="21" spans="1:10" x14ac:dyDescent="0.2">
      <c r="A21">
        <v>142</v>
      </c>
      <c r="B21" t="s">
        <v>24</v>
      </c>
      <c r="C21" t="s">
        <v>8</v>
      </c>
      <c r="D21" t="s">
        <v>51</v>
      </c>
      <c r="E21" t="s">
        <v>42</v>
      </c>
      <c r="F21">
        <v>3</v>
      </c>
      <c r="G21" t="str">
        <f t="shared" si="0"/>
        <v>Q3</v>
      </c>
      <c r="H21">
        <v>2023</v>
      </c>
      <c r="I21">
        <f>_xlfn.NUMBERVALUE(SUBSTITUTE(J21,",",""))</f>
        <v>162</v>
      </c>
      <c r="J21" s="9">
        <v>162</v>
      </c>
    </row>
    <row r="22" spans="1:10" x14ac:dyDescent="0.2">
      <c r="A22">
        <v>134</v>
      </c>
      <c r="B22" t="s">
        <v>17</v>
      </c>
      <c r="C22" t="s">
        <v>38</v>
      </c>
      <c r="D22" t="s">
        <v>52</v>
      </c>
      <c r="E22" t="s">
        <v>53</v>
      </c>
      <c r="F22">
        <v>3</v>
      </c>
      <c r="G22" t="str">
        <f t="shared" si="0"/>
        <v>Q3</v>
      </c>
      <c r="H22">
        <v>2023</v>
      </c>
      <c r="I22">
        <f>_xlfn.NUMBERVALUE(SUBSTITUTE(J22,",",""))</f>
        <v>25</v>
      </c>
      <c r="J22" s="9">
        <v>25</v>
      </c>
    </row>
    <row r="23" spans="1:10" x14ac:dyDescent="0.2">
      <c r="A23">
        <v>259</v>
      </c>
      <c r="B23" t="s">
        <v>27</v>
      </c>
      <c r="C23" t="s">
        <v>12</v>
      </c>
      <c r="D23" t="s">
        <v>54</v>
      </c>
      <c r="E23" t="s">
        <v>55</v>
      </c>
      <c r="F23">
        <v>3</v>
      </c>
      <c r="G23" t="str">
        <f t="shared" si="0"/>
        <v>Q3</v>
      </c>
      <c r="H23">
        <v>2023</v>
      </c>
      <c r="I23">
        <f>_xlfn.NUMBERVALUE(SUBSTITUTE(J23,",",""))</f>
        <v>101</v>
      </c>
      <c r="J23" s="9">
        <v>101</v>
      </c>
    </row>
    <row r="24" spans="1:10" x14ac:dyDescent="0.2">
      <c r="A24">
        <v>11</v>
      </c>
      <c r="B24" t="s">
        <v>31</v>
      </c>
      <c r="C24" t="s">
        <v>56</v>
      </c>
      <c r="D24" t="s">
        <v>57</v>
      </c>
      <c r="E24" t="s">
        <v>22</v>
      </c>
      <c r="F24">
        <v>3</v>
      </c>
      <c r="G24" t="str">
        <f t="shared" si="0"/>
        <v>Q3</v>
      </c>
      <c r="H24">
        <v>2023</v>
      </c>
      <c r="I24">
        <f>_xlfn.NUMBERVALUE(SUBSTITUTE(J24,",",""))</f>
        <v>65</v>
      </c>
      <c r="J24" s="9">
        <v>65</v>
      </c>
    </row>
    <row r="25" spans="1:10" x14ac:dyDescent="0.2">
      <c r="A25">
        <v>42</v>
      </c>
      <c r="B25" t="s">
        <v>34</v>
      </c>
      <c r="C25" t="s">
        <v>58</v>
      </c>
      <c r="D25" t="s">
        <v>59</v>
      </c>
      <c r="E25" t="s">
        <v>60</v>
      </c>
      <c r="F25">
        <v>3</v>
      </c>
      <c r="G25" t="str">
        <f t="shared" si="0"/>
        <v>Q3</v>
      </c>
      <c r="H25">
        <v>2023</v>
      </c>
      <c r="I25">
        <f>_xlfn.NUMBERVALUE(SUBSTITUTE(J25,",",""))</f>
        <v>150</v>
      </c>
      <c r="J25" s="9">
        <v>150</v>
      </c>
    </row>
    <row r="26" spans="1:10" x14ac:dyDescent="0.2">
      <c r="A26">
        <v>13</v>
      </c>
      <c r="B26" t="s">
        <v>24</v>
      </c>
      <c r="C26" t="s">
        <v>56</v>
      </c>
      <c r="D26" t="s">
        <v>61</v>
      </c>
      <c r="E26" t="s">
        <v>62</v>
      </c>
      <c r="F26">
        <v>3</v>
      </c>
      <c r="G26" t="str">
        <f t="shared" si="0"/>
        <v>Q3</v>
      </c>
      <c r="H26">
        <v>2023</v>
      </c>
      <c r="I26">
        <f>_xlfn.NUMBERVALUE(SUBSTITUTE(J26,",",""))</f>
        <v>86</v>
      </c>
      <c r="J26" s="9">
        <v>86</v>
      </c>
    </row>
    <row r="27" spans="1:10" x14ac:dyDescent="0.2">
      <c r="A27">
        <v>14</v>
      </c>
      <c r="B27" t="s">
        <v>7</v>
      </c>
      <c r="C27" t="s">
        <v>35</v>
      </c>
      <c r="D27" t="s">
        <v>63</v>
      </c>
      <c r="E27" t="s">
        <v>64</v>
      </c>
      <c r="F27">
        <v>4</v>
      </c>
      <c r="G27" t="str">
        <f t="shared" si="0"/>
        <v>Q4</v>
      </c>
      <c r="H27">
        <v>2023</v>
      </c>
      <c r="I27">
        <f>_xlfn.NUMBERVALUE(SUBSTITUTE(J27,",",""))</f>
        <v>25</v>
      </c>
      <c r="J27" s="9">
        <v>25</v>
      </c>
    </row>
    <row r="28" spans="1:10" x14ac:dyDescent="0.2">
      <c r="A28">
        <v>15</v>
      </c>
      <c r="B28" t="s">
        <v>11</v>
      </c>
      <c r="C28" t="s">
        <v>14</v>
      </c>
      <c r="D28" t="s">
        <v>65</v>
      </c>
      <c r="E28" t="s">
        <v>66</v>
      </c>
      <c r="F28">
        <v>4</v>
      </c>
      <c r="G28" t="str">
        <f t="shared" si="0"/>
        <v>Q4</v>
      </c>
      <c r="H28">
        <v>2023</v>
      </c>
      <c r="I28">
        <f>_xlfn.NUMBERVALUE(SUBSTITUTE(J28,",",""))</f>
        <v>15</v>
      </c>
      <c r="J28" s="9">
        <v>15</v>
      </c>
    </row>
    <row r="29" spans="1:10" x14ac:dyDescent="0.2">
      <c r="A29">
        <v>24</v>
      </c>
      <c r="B29" t="s">
        <v>24</v>
      </c>
      <c r="C29" t="s">
        <v>12</v>
      </c>
      <c r="D29" t="s">
        <v>67</v>
      </c>
      <c r="E29" t="s">
        <v>68</v>
      </c>
      <c r="F29">
        <v>4</v>
      </c>
      <c r="G29" t="str">
        <f t="shared" si="0"/>
        <v>Q4</v>
      </c>
      <c r="H29">
        <v>2023</v>
      </c>
      <c r="I29">
        <f>_xlfn.NUMBERVALUE(SUBSTITUTE(J29,",",""))</f>
        <v>36</v>
      </c>
      <c r="J29" s="9">
        <v>36</v>
      </c>
    </row>
    <row r="30" spans="1:10" x14ac:dyDescent="0.2">
      <c r="A30">
        <v>29</v>
      </c>
      <c r="B30" t="s">
        <v>17</v>
      </c>
      <c r="C30" t="s">
        <v>12</v>
      </c>
      <c r="D30" t="s">
        <v>69</v>
      </c>
      <c r="E30" t="s">
        <v>33</v>
      </c>
      <c r="F30">
        <v>4</v>
      </c>
      <c r="G30" t="str">
        <f t="shared" si="0"/>
        <v>Q4</v>
      </c>
      <c r="H30">
        <v>2023</v>
      </c>
      <c r="I30">
        <f>_xlfn.NUMBERVALUE(SUBSTITUTE(J30,",",""))</f>
        <v>14</v>
      </c>
      <c r="J30" s="9">
        <v>14</v>
      </c>
    </row>
    <row r="31" spans="1:10" x14ac:dyDescent="0.2">
      <c r="A31">
        <v>84</v>
      </c>
      <c r="B31" t="s">
        <v>27</v>
      </c>
      <c r="C31" t="s">
        <v>56</v>
      </c>
      <c r="D31" t="s">
        <v>70</v>
      </c>
      <c r="E31" t="s">
        <v>23</v>
      </c>
      <c r="F31">
        <v>4</v>
      </c>
      <c r="G31" t="str">
        <f t="shared" si="0"/>
        <v>Q4</v>
      </c>
      <c r="H31">
        <v>2023</v>
      </c>
      <c r="I31">
        <f>_xlfn.NUMBERVALUE(SUBSTITUTE(J31,",",""))</f>
        <v>546</v>
      </c>
      <c r="J31" s="9">
        <v>546</v>
      </c>
    </row>
    <row r="32" spans="1:10" x14ac:dyDescent="0.2">
      <c r="A32">
        <v>119</v>
      </c>
      <c r="B32" t="s">
        <v>31</v>
      </c>
      <c r="C32" t="s">
        <v>12</v>
      </c>
      <c r="D32" t="s">
        <v>71</v>
      </c>
      <c r="E32" t="s">
        <v>72</v>
      </c>
      <c r="F32">
        <v>4</v>
      </c>
      <c r="G32" t="str">
        <f t="shared" si="0"/>
        <v>Q4</v>
      </c>
      <c r="H32">
        <v>2023</v>
      </c>
      <c r="I32">
        <f>_xlfn.NUMBERVALUE(SUBSTITUTE(J32,",",""))</f>
        <v>49</v>
      </c>
      <c r="J32" s="9">
        <v>49</v>
      </c>
    </row>
    <row r="33" spans="1:10" x14ac:dyDescent="0.2">
      <c r="A33">
        <v>31</v>
      </c>
      <c r="B33" t="s">
        <v>34</v>
      </c>
      <c r="C33" t="s">
        <v>12</v>
      </c>
      <c r="D33" t="s">
        <v>73</v>
      </c>
      <c r="E33" t="s">
        <v>42</v>
      </c>
      <c r="F33">
        <v>4</v>
      </c>
      <c r="G33" t="str">
        <f t="shared" si="0"/>
        <v>Q4</v>
      </c>
      <c r="H33">
        <v>2023</v>
      </c>
      <c r="I33">
        <f>_xlfn.NUMBERVALUE(SUBSTITUTE(J33,",",""))</f>
        <v>42</v>
      </c>
      <c r="J33" s="9">
        <v>42</v>
      </c>
    </row>
    <row r="34" spans="1:10" x14ac:dyDescent="0.2">
      <c r="A34">
        <v>66</v>
      </c>
      <c r="B34" t="s">
        <v>24</v>
      </c>
      <c r="C34" t="s">
        <v>12</v>
      </c>
      <c r="D34" t="s">
        <v>74</v>
      </c>
      <c r="E34" t="s">
        <v>75</v>
      </c>
      <c r="F34">
        <v>4</v>
      </c>
      <c r="G34" t="str">
        <f t="shared" ref="G34:G65" si="1">"Q"&amp;F34</f>
        <v>Q4</v>
      </c>
      <c r="H34">
        <v>2023</v>
      </c>
      <c r="I34">
        <f>_xlfn.NUMBERVALUE(SUBSTITUTE(J34,",",""))</f>
        <v>15</v>
      </c>
      <c r="J34" s="9">
        <v>15</v>
      </c>
    </row>
    <row r="35" spans="1:10" x14ac:dyDescent="0.2">
      <c r="A35">
        <v>25</v>
      </c>
      <c r="B35" t="s">
        <v>7</v>
      </c>
      <c r="C35" t="s">
        <v>8</v>
      </c>
      <c r="D35" t="s">
        <v>9</v>
      </c>
      <c r="E35" t="s">
        <v>10</v>
      </c>
      <c r="F35">
        <v>1</v>
      </c>
      <c r="G35" t="str">
        <f t="shared" si="1"/>
        <v>Q1</v>
      </c>
      <c r="H35">
        <v>2024</v>
      </c>
      <c r="I35">
        <f>_xlfn.NUMBERVALUE(SUBSTITUTE(J35,",",""))</f>
        <v>20</v>
      </c>
      <c r="J35" s="9">
        <v>20</v>
      </c>
    </row>
    <row r="36" spans="1:10" x14ac:dyDescent="0.2">
      <c r="A36">
        <v>147</v>
      </c>
      <c r="B36" t="s">
        <v>11</v>
      </c>
      <c r="C36" t="s">
        <v>12</v>
      </c>
      <c r="D36" t="s">
        <v>13</v>
      </c>
      <c r="E36" t="s">
        <v>13</v>
      </c>
      <c r="F36">
        <v>1</v>
      </c>
      <c r="G36" t="str">
        <f t="shared" si="1"/>
        <v>Q1</v>
      </c>
      <c r="H36">
        <v>2024</v>
      </c>
      <c r="I36">
        <f>_xlfn.NUMBERVALUE(SUBSTITUTE(J36,",",""))</f>
        <v>87</v>
      </c>
      <c r="J36" s="9">
        <v>87</v>
      </c>
    </row>
    <row r="37" spans="1:10" x14ac:dyDescent="0.2">
      <c r="A37">
        <v>90</v>
      </c>
      <c r="B37" t="s">
        <v>24</v>
      </c>
      <c r="C37" t="s">
        <v>14</v>
      </c>
      <c r="D37" t="s">
        <v>15</v>
      </c>
      <c r="E37" t="s">
        <v>16</v>
      </c>
      <c r="F37">
        <v>1</v>
      </c>
      <c r="G37" t="str">
        <f t="shared" si="1"/>
        <v>Q1</v>
      </c>
      <c r="H37">
        <v>2024</v>
      </c>
      <c r="I37">
        <f>_xlfn.NUMBERVALUE(SUBSTITUTE(J37,",",""))</f>
        <v>165</v>
      </c>
      <c r="J37" s="9">
        <v>165</v>
      </c>
    </row>
    <row r="38" spans="1:10" x14ac:dyDescent="0.2">
      <c r="A38">
        <v>148</v>
      </c>
      <c r="B38" t="s">
        <v>17</v>
      </c>
      <c r="C38" t="s">
        <v>12</v>
      </c>
      <c r="D38" t="s">
        <v>18</v>
      </c>
      <c r="E38" t="s">
        <v>19</v>
      </c>
      <c r="F38">
        <v>1</v>
      </c>
      <c r="G38" t="str">
        <f t="shared" si="1"/>
        <v>Q1</v>
      </c>
      <c r="H38">
        <v>2024</v>
      </c>
      <c r="I38">
        <f>_xlfn.NUMBERVALUE(SUBSTITUTE(J38,",",""))</f>
        <v>380</v>
      </c>
      <c r="J38" s="9">
        <v>380</v>
      </c>
    </row>
    <row r="39" spans="1:10" x14ac:dyDescent="0.2">
      <c r="A39">
        <v>143</v>
      </c>
      <c r="B39" t="s">
        <v>27</v>
      </c>
      <c r="C39" t="s">
        <v>20</v>
      </c>
      <c r="D39" t="s">
        <v>18</v>
      </c>
      <c r="E39" t="s">
        <v>19</v>
      </c>
      <c r="F39">
        <v>1</v>
      </c>
      <c r="G39" t="str">
        <f t="shared" si="1"/>
        <v>Q1</v>
      </c>
      <c r="H39">
        <v>2024</v>
      </c>
      <c r="I39">
        <f>_xlfn.NUMBERVALUE(SUBSTITUTE(J39,",",""))</f>
        <v>267</v>
      </c>
      <c r="J39" s="9">
        <v>267</v>
      </c>
    </row>
    <row r="40" spans="1:10" x14ac:dyDescent="0.2">
      <c r="A40">
        <v>44</v>
      </c>
      <c r="B40" t="s">
        <v>31</v>
      </c>
      <c r="C40" t="s">
        <v>20</v>
      </c>
      <c r="D40" t="s">
        <v>21</v>
      </c>
      <c r="E40" t="s">
        <v>22</v>
      </c>
      <c r="F40">
        <v>1</v>
      </c>
      <c r="G40" t="str">
        <f t="shared" si="1"/>
        <v>Q1</v>
      </c>
      <c r="H40">
        <v>2024</v>
      </c>
      <c r="I40">
        <f>_xlfn.NUMBERVALUE(SUBSTITUTE(J40,",",""))</f>
        <v>390</v>
      </c>
      <c r="J40" s="9">
        <v>390</v>
      </c>
    </row>
    <row r="41" spans="1:10" x14ac:dyDescent="0.2">
      <c r="A41">
        <v>54</v>
      </c>
      <c r="B41" t="s">
        <v>34</v>
      </c>
      <c r="C41" t="s">
        <v>20</v>
      </c>
      <c r="D41" t="s">
        <v>23</v>
      </c>
      <c r="E41" t="s">
        <v>23</v>
      </c>
      <c r="F41">
        <v>1</v>
      </c>
      <c r="G41" t="str">
        <f t="shared" si="1"/>
        <v>Q1</v>
      </c>
      <c r="H41">
        <v>2024</v>
      </c>
      <c r="I41">
        <f>_xlfn.NUMBERVALUE(SUBSTITUTE(J41,",",""))</f>
        <v>10</v>
      </c>
      <c r="J41" s="9">
        <v>10</v>
      </c>
    </row>
    <row r="42" spans="1:10" x14ac:dyDescent="0.2">
      <c r="A42">
        <v>37</v>
      </c>
      <c r="B42" t="s">
        <v>24</v>
      </c>
      <c r="C42" t="s">
        <v>12</v>
      </c>
      <c r="D42" t="s">
        <v>25</v>
      </c>
      <c r="E42" t="s">
        <v>26</v>
      </c>
      <c r="F42">
        <v>1</v>
      </c>
      <c r="G42" t="str">
        <f t="shared" si="1"/>
        <v>Q1</v>
      </c>
      <c r="H42">
        <v>2024</v>
      </c>
      <c r="I42">
        <f>_xlfn.NUMBERVALUE(SUBSTITUTE(J42,",",""))</f>
        <v>21</v>
      </c>
      <c r="J42" s="9">
        <v>21</v>
      </c>
    </row>
    <row r="43" spans="1:10" x14ac:dyDescent="0.2">
      <c r="A43">
        <v>39</v>
      </c>
      <c r="B43" t="s">
        <v>7</v>
      </c>
      <c r="C43" t="s">
        <v>28</v>
      </c>
      <c r="D43" t="s">
        <v>29</v>
      </c>
      <c r="E43" t="s">
        <v>30</v>
      </c>
      <c r="F43">
        <v>2</v>
      </c>
      <c r="G43" t="str">
        <f t="shared" si="1"/>
        <v>Q2</v>
      </c>
      <c r="H43">
        <v>2024</v>
      </c>
      <c r="I43">
        <f>_xlfn.NUMBERVALUE(SUBSTITUTE(J43,",",""))</f>
        <v>57</v>
      </c>
      <c r="J43" s="9">
        <v>57</v>
      </c>
    </row>
    <row r="44" spans="1:10" x14ac:dyDescent="0.2">
      <c r="A44">
        <v>117</v>
      </c>
      <c r="B44" t="s">
        <v>11</v>
      </c>
      <c r="C44" t="s">
        <v>8</v>
      </c>
      <c r="D44" t="s">
        <v>32</v>
      </c>
      <c r="E44" t="s">
        <v>33</v>
      </c>
      <c r="F44">
        <v>2</v>
      </c>
      <c r="G44" t="str">
        <f t="shared" si="1"/>
        <v>Q2</v>
      </c>
      <c r="H44">
        <v>2024</v>
      </c>
      <c r="I44">
        <f>_xlfn.NUMBERVALUE(SUBSTITUTE(J44,",",""))</f>
        <v>49</v>
      </c>
      <c r="J44" s="9">
        <v>49</v>
      </c>
    </row>
    <row r="45" spans="1:10" x14ac:dyDescent="0.2">
      <c r="A45">
        <v>250</v>
      </c>
      <c r="B45" t="s">
        <v>24</v>
      </c>
      <c r="C45" t="s">
        <v>35</v>
      </c>
      <c r="D45" t="s">
        <v>36</v>
      </c>
      <c r="E45" t="s">
        <v>37</v>
      </c>
      <c r="F45">
        <v>2</v>
      </c>
      <c r="G45" t="str">
        <f t="shared" si="1"/>
        <v>Q2</v>
      </c>
      <c r="H45">
        <v>2024</v>
      </c>
      <c r="I45">
        <f>_xlfn.NUMBERVALUE(SUBSTITUTE(J45,",",""))</f>
        <v>16</v>
      </c>
      <c r="J45" s="9">
        <v>16</v>
      </c>
    </row>
    <row r="46" spans="1:10" x14ac:dyDescent="0.2">
      <c r="A46">
        <v>71</v>
      </c>
      <c r="B46" t="s">
        <v>17</v>
      </c>
      <c r="C46" t="s">
        <v>12</v>
      </c>
      <c r="D46" t="s">
        <v>39</v>
      </c>
      <c r="E46" t="s">
        <v>40</v>
      </c>
      <c r="F46">
        <v>2</v>
      </c>
      <c r="G46" t="str">
        <f t="shared" si="1"/>
        <v>Q2</v>
      </c>
      <c r="H46">
        <v>2024</v>
      </c>
      <c r="I46">
        <f>_xlfn.NUMBERVALUE(SUBSTITUTE(J46,",",""))</f>
        <v>94</v>
      </c>
      <c r="J46" s="9">
        <v>94</v>
      </c>
    </row>
    <row r="47" spans="1:10" x14ac:dyDescent="0.2">
      <c r="A47">
        <v>46</v>
      </c>
      <c r="B47" t="s">
        <v>27</v>
      </c>
      <c r="C47" t="s">
        <v>20</v>
      </c>
      <c r="D47" t="s">
        <v>41</v>
      </c>
      <c r="E47" t="s">
        <v>42</v>
      </c>
      <c r="F47">
        <v>2</v>
      </c>
      <c r="G47" t="str">
        <f t="shared" si="1"/>
        <v>Q2</v>
      </c>
      <c r="H47">
        <v>2024</v>
      </c>
      <c r="I47">
        <f>_xlfn.NUMBERVALUE(SUBSTITUTE(J47,",",""))</f>
        <v>43</v>
      </c>
      <c r="J47" s="9">
        <v>43</v>
      </c>
    </row>
    <row r="48" spans="1:10" x14ac:dyDescent="0.2">
      <c r="A48">
        <v>51</v>
      </c>
      <c r="B48" t="s">
        <v>31</v>
      </c>
      <c r="C48" t="s">
        <v>20</v>
      </c>
      <c r="D48" t="s">
        <v>43</v>
      </c>
      <c r="E48" t="s">
        <v>44</v>
      </c>
      <c r="F48">
        <v>2</v>
      </c>
      <c r="G48" t="str">
        <f t="shared" si="1"/>
        <v>Q2</v>
      </c>
      <c r="H48">
        <v>2024</v>
      </c>
      <c r="I48">
        <f>_xlfn.NUMBERVALUE(SUBSTITUTE(J48,",",""))</f>
        <v>49</v>
      </c>
      <c r="J48" s="9">
        <v>49</v>
      </c>
    </row>
    <row r="49" spans="1:10" x14ac:dyDescent="0.2">
      <c r="A49">
        <v>50</v>
      </c>
      <c r="B49" t="s">
        <v>34</v>
      </c>
      <c r="C49" t="s">
        <v>35</v>
      </c>
      <c r="D49" t="s">
        <v>43</v>
      </c>
      <c r="E49" t="s">
        <v>44</v>
      </c>
      <c r="F49">
        <v>2</v>
      </c>
      <c r="G49" t="str">
        <f t="shared" si="1"/>
        <v>Q2</v>
      </c>
      <c r="H49">
        <v>2024</v>
      </c>
      <c r="I49">
        <f>_xlfn.NUMBERVALUE(SUBSTITUTE(J49,",",""))</f>
        <v>34</v>
      </c>
      <c r="J49" s="9">
        <v>34</v>
      </c>
    </row>
    <row r="50" spans="1:10" x14ac:dyDescent="0.2">
      <c r="A50">
        <v>183</v>
      </c>
      <c r="B50" t="s">
        <v>24</v>
      </c>
      <c r="C50" t="s">
        <v>45</v>
      </c>
      <c r="D50" t="s">
        <v>46</v>
      </c>
      <c r="E50" t="s">
        <v>26</v>
      </c>
      <c r="F50">
        <v>2</v>
      </c>
      <c r="G50" t="str">
        <f t="shared" si="1"/>
        <v>Q2</v>
      </c>
      <c r="H50">
        <v>2024</v>
      </c>
      <c r="I50">
        <f>_xlfn.NUMBERVALUE(SUBSTITUTE(J50,",",""))</f>
        <v>92</v>
      </c>
      <c r="J50" s="9">
        <v>92</v>
      </c>
    </row>
    <row r="51" spans="1:10" x14ac:dyDescent="0.2">
      <c r="A51">
        <v>61</v>
      </c>
      <c r="B51" t="s">
        <v>7</v>
      </c>
      <c r="C51" t="s">
        <v>12</v>
      </c>
      <c r="D51" t="s">
        <v>47</v>
      </c>
      <c r="E51" t="s">
        <v>48</v>
      </c>
      <c r="F51">
        <v>3</v>
      </c>
      <c r="G51" t="str">
        <f t="shared" si="1"/>
        <v>Q3</v>
      </c>
      <c r="H51">
        <v>2024</v>
      </c>
      <c r="I51">
        <f>_xlfn.NUMBERVALUE(SUBSTITUTE(J51,",",""))</f>
        <v>15</v>
      </c>
      <c r="J51" s="9">
        <v>15</v>
      </c>
    </row>
    <row r="52" spans="1:10" x14ac:dyDescent="0.2">
      <c r="A52">
        <v>30</v>
      </c>
      <c r="B52" t="s">
        <v>11</v>
      </c>
      <c r="C52" t="s">
        <v>12</v>
      </c>
      <c r="D52" t="s">
        <v>49</v>
      </c>
      <c r="E52" t="s">
        <v>50</v>
      </c>
      <c r="F52">
        <v>3</v>
      </c>
      <c r="G52" t="str">
        <f t="shared" si="1"/>
        <v>Q3</v>
      </c>
      <c r="H52">
        <v>2024</v>
      </c>
      <c r="I52">
        <f>_xlfn.NUMBERVALUE(SUBSTITUTE(J52,",",""))</f>
        <v>16</v>
      </c>
      <c r="J52" s="9">
        <v>16</v>
      </c>
    </row>
    <row r="53" spans="1:10" x14ac:dyDescent="0.2">
      <c r="A53">
        <v>64</v>
      </c>
      <c r="B53" t="s">
        <v>24</v>
      </c>
      <c r="C53" t="s">
        <v>8</v>
      </c>
      <c r="D53" t="s">
        <v>51</v>
      </c>
      <c r="E53" t="s">
        <v>42</v>
      </c>
      <c r="F53">
        <v>3</v>
      </c>
      <c r="G53" t="str">
        <f t="shared" si="1"/>
        <v>Q3</v>
      </c>
      <c r="H53">
        <v>2024</v>
      </c>
      <c r="I53">
        <f>_xlfn.NUMBERVALUE(SUBSTITUTE(J53,",",""))</f>
        <v>64</v>
      </c>
      <c r="J53" s="9">
        <v>64</v>
      </c>
    </row>
    <row r="54" spans="1:10" x14ac:dyDescent="0.2">
      <c r="A54">
        <v>53</v>
      </c>
      <c r="B54" t="s">
        <v>17</v>
      </c>
      <c r="C54" t="s">
        <v>38</v>
      </c>
      <c r="D54" t="s">
        <v>52</v>
      </c>
      <c r="E54" t="s">
        <v>53</v>
      </c>
      <c r="F54">
        <v>3</v>
      </c>
      <c r="G54" t="str">
        <f t="shared" si="1"/>
        <v>Q3</v>
      </c>
      <c r="H54">
        <v>2024</v>
      </c>
      <c r="I54">
        <f>_xlfn.NUMBERVALUE(SUBSTITUTE(J54,",",""))</f>
        <v>30</v>
      </c>
      <c r="J54" s="9">
        <v>30</v>
      </c>
    </row>
    <row r="55" spans="1:10" x14ac:dyDescent="0.2">
      <c r="A55">
        <v>69</v>
      </c>
      <c r="B55" t="s">
        <v>27</v>
      </c>
      <c r="C55" t="s">
        <v>12</v>
      </c>
      <c r="D55" t="s">
        <v>54</v>
      </c>
      <c r="E55" t="s">
        <v>55</v>
      </c>
      <c r="F55">
        <v>3</v>
      </c>
      <c r="G55" t="str">
        <f t="shared" si="1"/>
        <v>Q3</v>
      </c>
      <c r="H55">
        <v>2024</v>
      </c>
      <c r="I55">
        <f>_xlfn.NUMBERVALUE(SUBSTITUTE(J55,",",""))</f>
        <v>15</v>
      </c>
      <c r="J55" s="9">
        <v>15</v>
      </c>
    </row>
    <row r="56" spans="1:10" x14ac:dyDescent="0.2">
      <c r="A56">
        <v>58</v>
      </c>
      <c r="B56" t="s">
        <v>31</v>
      </c>
      <c r="C56" t="s">
        <v>56</v>
      </c>
      <c r="D56" t="s">
        <v>57</v>
      </c>
      <c r="E56" t="s">
        <v>22</v>
      </c>
      <c r="F56">
        <v>3</v>
      </c>
      <c r="G56" t="str">
        <f t="shared" si="1"/>
        <v>Q3</v>
      </c>
      <c r="H56">
        <v>2024</v>
      </c>
      <c r="I56">
        <f>_xlfn.NUMBERVALUE(SUBSTITUTE(J56,",",""))</f>
        <v>24</v>
      </c>
      <c r="J56" s="9">
        <v>24</v>
      </c>
    </row>
    <row r="57" spans="1:10" x14ac:dyDescent="0.2">
      <c r="A57">
        <v>85</v>
      </c>
      <c r="B57" t="s">
        <v>34</v>
      </c>
      <c r="C57" t="s">
        <v>58</v>
      </c>
      <c r="D57" t="s">
        <v>59</v>
      </c>
      <c r="E57" t="s">
        <v>60</v>
      </c>
      <c r="F57">
        <v>3</v>
      </c>
      <c r="G57" t="str">
        <f t="shared" si="1"/>
        <v>Q3</v>
      </c>
      <c r="H57">
        <v>2024</v>
      </c>
      <c r="I57">
        <f>_xlfn.NUMBERVALUE(SUBSTITUTE(J57,",",""))</f>
        <v>175</v>
      </c>
      <c r="J57" s="9">
        <v>175</v>
      </c>
    </row>
    <row r="58" spans="1:10" x14ac:dyDescent="0.2">
      <c r="A58">
        <v>62</v>
      </c>
      <c r="B58" t="s">
        <v>24</v>
      </c>
      <c r="C58" t="s">
        <v>56</v>
      </c>
      <c r="D58" t="s">
        <v>61</v>
      </c>
      <c r="E58" t="s">
        <v>62</v>
      </c>
      <c r="F58">
        <v>3</v>
      </c>
      <c r="G58" t="str">
        <f t="shared" si="1"/>
        <v>Q3</v>
      </c>
      <c r="H58">
        <v>2024</v>
      </c>
      <c r="I58">
        <f>_xlfn.NUMBERVALUE(SUBSTITUTE(J58,",",""))</f>
        <v>66</v>
      </c>
      <c r="J58" s="9">
        <v>66</v>
      </c>
    </row>
    <row r="59" spans="1:10" x14ac:dyDescent="0.2">
      <c r="A59">
        <v>45</v>
      </c>
      <c r="B59" t="s">
        <v>7</v>
      </c>
      <c r="C59" t="s">
        <v>35</v>
      </c>
      <c r="D59" t="s">
        <v>63</v>
      </c>
      <c r="E59" t="s">
        <v>64</v>
      </c>
      <c r="F59">
        <v>4</v>
      </c>
      <c r="G59" t="str">
        <f t="shared" si="1"/>
        <v>Q4</v>
      </c>
      <c r="H59">
        <v>2024</v>
      </c>
      <c r="I59">
        <f>_xlfn.NUMBERVALUE(SUBSTITUTE(J59,",",""))</f>
        <v>25</v>
      </c>
      <c r="J59" s="9">
        <v>25</v>
      </c>
    </row>
    <row r="60" spans="1:10" x14ac:dyDescent="0.2">
      <c r="A60">
        <v>65</v>
      </c>
      <c r="B60" t="s">
        <v>11</v>
      </c>
      <c r="C60" t="s">
        <v>14</v>
      </c>
      <c r="D60" t="s">
        <v>65</v>
      </c>
      <c r="E60" t="s">
        <v>66</v>
      </c>
      <c r="F60">
        <v>4</v>
      </c>
      <c r="G60" t="str">
        <f t="shared" si="1"/>
        <v>Q4</v>
      </c>
      <c r="H60">
        <v>2024</v>
      </c>
      <c r="I60">
        <f>_xlfn.NUMBERVALUE(SUBSTITUTE(J60,",",""))</f>
        <v>20</v>
      </c>
      <c r="J60" s="9">
        <v>20</v>
      </c>
    </row>
    <row r="61" spans="1:10" x14ac:dyDescent="0.2">
      <c r="A61">
        <v>70</v>
      </c>
      <c r="B61" t="s">
        <v>24</v>
      </c>
      <c r="C61" t="s">
        <v>12</v>
      </c>
      <c r="D61" t="s">
        <v>67</v>
      </c>
      <c r="E61" t="s">
        <v>68</v>
      </c>
      <c r="F61">
        <v>4</v>
      </c>
      <c r="G61" t="str">
        <f t="shared" si="1"/>
        <v>Q4</v>
      </c>
      <c r="H61">
        <v>2024</v>
      </c>
      <c r="I61">
        <f>_xlfn.NUMBERVALUE(SUBSTITUTE(J61,",",""))</f>
        <v>18</v>
      </c>
      <c r="J61" s="9">
        <v>18</v>
      </c>
    </row>
    <row r="62" spans="1:10" x14ac:dyDescent="0.2">
      <c r="A62">
        <v>92</v>
      </c>
      <c r="B62" t="s">
        <v>17</v>
      </c>
      <c r="C62" t="s">
        <v>12</v>
      </c>
      <c r="D62" t="s">
        <v>69</v>
      </c>
      <c r="E62" t="s">
        <v>33</v>
      </c>
      <c r="F62">
        <v>4</v>
      </c>
      <c r="G62" t="str">
        <f t="shared" si="1"/>
        <v>Q4</v>
      </c>
      <c r="H62">
        <v>2024</v>
      </c>
      <c r="I62">
        <f>_xlfn.NUMBERVALUE(SUBSTITUTE(J62,",",""))</f>
        <v>15</v>
      </c>
      <c r="J62" s="9">
        <v>15</v>
      </c>
    </row>
    <row r="63" spans="1:10" x14ac:dyDescent="0.2">
      <c r="A63">
        <v>80</v>
      </c>
      <c r="B63" t="s">
        <v>27</v>
      </c>
      <c r="C63" t="s">
        <v>56</v>
      </c>
      <c r="D63" t="s">
        <v>70</v>
      </c>
      <c r="E63" t="s">
        <v>23</v>
      </c>
      <c r="F63">
        <v>4</v>
      </c>
      <c r="G63" t="str">
        <f t="shared" si="1"/>
        <v>Q4</v>
      </c>
      <c r="H63">
        <v>2024</v>
      </c>
      <c r="I63">
        <f>_xlfn.NUMBERVALUE(SUBSTITUTE(J63,",",""))</f>
        <v>25</v>
      </c>
      <c r="J63" s="9">
        <v>25</v>
      </c>
    </row>
    <row r="64" spans="1:10" x14ac:dyDescent="0.2">
      <c r="A64">
        <v>136</v>
      </c>
      <c r="B64" t="s">
        <v>31</v>
      </c>
      <c r="C64" t="s">
        <v>12</v>
      </c>
      <c r="D64" t="s">
        <v>71</v>
      </c>
      <c r="E64" t="s">
        <v>72</v>
      </c>
      <c r="F64">
        <v>4</v>
      </c>
      <c r="G64" t="str">
        <f t="shared" si="1"/>
        <v>Q4</v>
      </c>
      <c r="H64">
        <v>2024</v>
      </c>
      <c r="I64">
        <f>_xlfn.NUMBERVALUE(SUBSTITUTE(J64,",",""))</f>
        <v>49</v>
      </c>
      <c r="J64" s="9">
        <v>49</v>
      </c>
    </row>
    <row r="65" spans="1:10" x14ac:dyDescent="0.2">
      <c r="A65">
        <v>76</v>
      </c>
      <c r="B65" t="s">
        <v>34</v>
      </c>
      <c r="C65" t="s">
        <v>12</v>
      </c>
      <c r="D65" t="s">
        <v>73</v>
      </c>
      <c r="E65" t="s">
        <v>42</v>
      </c>
      <c r="F65">
        <v>4</v>
      </c>
      <c r="G65" t="str">
        <f t="shared" si="1"/>
        <v>Q4</v>
      </c>
      <c r="H65">
        <v>2024</v>
      </c>
      <c r="I65">
        <f>_xlfn.NUMBERVALUE(SUBSTITUTE(J65,",",""))</f>
        <v>34</v>
      </c>
      <c r="J65" s="9">
        <v>34</v>
      </c>
    </row>
    <row r="66" spans="1:10" x14ac:dyDescent="0.2">
      <c r="A66">
        <v>21</v>
      </c>
      <c r="B66" t="s">
        <v>24</v>
      </c>
      <c r="C66" t="s">
        <v>12</v>
      </c>
      <c r="D66" t="s">
        <v>74</v>
      </c>
      <c r="E66" t="s">
        <v>75</v>
      </c>
      <c r="F66">
        <v>4</v>
      </c>
      <c r="G66" t="str">
        <f t="shared" ref="G66:G97" si="2">"Q"&amp;F66</f>
        <v>Q4</v>
      </c>
      <c r="H66">
        <v>2024</v>
      </c>
      <c r="I66">
        <f>_xlfn.NUMBERVALUE(SUBSTITUTE(J66,",",""))</f>
        <v>28</v>
      </c>
      <c r="J66" s="9">
        <v>28</v>
      </c>
    </row>
    <row r="67" spans="1:10" x14ac:dyDescent="0.2">
      <c r="A67">
        <v>77</v>
      </c>
      <c r="B67" t="s">
        <v>7</v>
      </c>
      <c r="C67" t="s">
        <v>8</v>
      </c>
      <c r="D67" t="s">
        <v>9</v>
      </c>
      <c r="E67" t="s">
        <v>10</v>
      </c>
      <c r="F67">
        <v>1</v>
      </c>
      <c r="G67" t="str">
        <f t="shared" si="2"/>
        <v>Q1</v>
      </c>
      <c r="H67">
        <v>2025</v>
      </c>
      <c r="I67">
        <f>_xlfn.NUMBERVALUE(SUBSTITUTE(J67,",",""))</f>
        <v>25</v>
      </c>
      <c r="J67" s="9">
        <v>25</v>
      </c>
    </row>
    <row r="68" spans="1:10" x14ac:dyDescent="0.2">
      <c r="A68">
        <v>78</v>
      </c>
      <c r="B68" t="s">
        <v>11</v>
      </c>
      <c r="C68" t="s">
        <v>12</v>
      </c>
      <c r="D68" t="s">
        <v>13</v>
      </c>
      <c r="E68" t="s">
        <v>13</v>
      </c>
      <c r="F68">
        <v>1</v>
      </c>
      <c r="G68" t="str">
        <f t="shared" si="2"/>
        <v>Q1</v>
      </c>
      <c r="H68">
        <v>2025</v>
      </c>
      <c r="I68">
        <f>_xlfn.NUMBERVALUE(SUBSTITUTE(J68,",",""))</f>
        <v>12</v>
      </c>
      <c r="J68" s="9">
        <v>12</v>
      </c>
    </row>
    <row r="69" spans="1:10" x14ac:dyDescent="0.2">
      <c r="A69">
        <v>79</v>
      </c>
      <c r="B69" t="s">
        <v>24</v>
      </c>
      <c r="C69" t="s">
        <v>14</v>
      </c>
      <c r="D69" t="s">
        <v>15</v>
      </c>
      <c r="E69" t="s">
        <v>16</v>
      </c>
      <c r="F69">
        <v>1</v>
      </c>
      <c r="G69" t="str">
        <f t="shared" si="2"/>
        <v>Q1</v>
      </c>
      <c r="H69">
        <v>2025</v>
      </c>
      <c r="I69">
        <f>_xlfn.NUMBERVALUE(SUBSTITUTE(J69,",",""))</f>
        <v>18</v>
      </c>
      <c r="J69" s="9">
        <v>18</v>
      </c>
    </row>
    <row r="70" spans="1:10" x14ac:dyDescent="0.2">
      <c r="A70">
        <v>63</v>
      </c>
      <c r="B70" t="s">
        <v>17</v>
      </c>
      <c r="C70" t="s">
        <v>12</v>
      </c>
      <c r="D70" t="s">
        <v>18</v>
      </c>
      <c r="E70" t="s">
        <v>19</v>
      </c>
      <c r="F70">
        <v>1</v>
      </c>
      <c r="G70" t="str">
        <f t="shared" si="2"/>
        <v>Q1</v>
      </c>
      <c r="H70">
        <v>2025</v>
      </c>
      <c r="I70">
        <f>_xlfn.NUMBERVALUE(SUBSTITUTE(J70,",",""))</f>
        <v>272</v>
      </c>
      <c r="J70" s="9">
        <v>272</v>
      </c>
    </row>
    <row r="71" spans="1:10" x14ac:dyDescent="0.2">
      <c r="A71">
        <v>191</v>
      </c>
      <c r="B71" t="s">
        <v>27</v>
      </c>
      <c r="C71" t="s">
        <v>20</v>
      </c>
      <c r="D71" t="s">
        <v>18</v>
      </c>
      <c r="E71" t="s">
        <v>19</v>
      </c>
      <c r="F71">
        <v>1</v>
      </c>
      <c r="G71" t="str">
        <f t="shared" si="2"/>
        <v>Q1</v>
      </c>
      <c r="H71">
        <v>2025</v>
      </c>
      <c r="I71">
        <f>_xlfn.NUMBERVALUE(SUBSTITUTE(J71,",",""))</f>
        <v>130</v>
      </c>
      <c r="J71" s="9">
        <v>130</v>
      </c>
    </row>
    <row r="72" spans="1:10" x14ac:dyDescent="0.2">
      <c r="A72">
        <v>180</v>
      </c>
      <c r="B72" t="s">
        <v>31</v>
      </c>
      <c r="C72" t="s">
        <v>20</v>
      </c>
      <c r="D72" t="s">
        <v>21</v>
      </c>
      <c r="E72" t="s">
        <v>22</v>
      </c>
      <c r="F72">
        <v>1</v>
      </c>
      <c r="G72" t="str">
        <f t="shared" si="2"/>
        <v>Q1</v>
      </c>
      <c r="H72">
        <v>2025</v>
      </c>
      <c r="I72">
        <f>_xlfn.NUMBERVALUE(SUBSTITUTE(J72,",",""))</f>
        <v>184</v>
      </c>
      <c r="J72" s="9">
        <v>184</v>
      </c>
    </row>
    <row r="73" spans="1:10" x14ac:dyDescent="0.2">
      <c r="A73">
        <v>172</v>
      </c>
      <c r="B73" t="s">
        <v>34</v>
      </c>
      <c r="C73" t="s">
        <v>20</v>
      </c>
      <c r="D73" t="s">
        <v>23</v>
      </c>
      <c r="E73" t="s">
        <v>23</v>
      </c>
      <c r="F73">
        <v>1</v>
      </c>
      <c r="G73" t="str">
        <f t="shared" si="2"/>
        <v>Q1</v>
      </c>
      <c r="H73">
        <v>2025</v>
      </c>
      <c r="I73">
        <f>_xlfn.NUMBERVALUE(SUBSTITUTE(J73,",",""))</f>
        <v>49</v>
      </c>
      <c r="J73" s="9">
        <v>49</v>
      </c>
    </row>
    <row r="74" spans="1:10" x14ac:dyDescent="0.2">
      <c r="A74">
        <v>81</v>
      </c>
      <c r="B74" t="s">
        <v>24</v>
      </c>
      <c r="C74" t="s">
        <v>12</v>
      </c>
      <c r="D74" t="s">
        <v>25</v>
      </c>
      <c r="E74" t="s">
        <v>26</v>
      </c>
      <c r="F74">
        <v>1</v>
      </c>
      <c r="G74" t="str">
        <f t="shared" si="2"/>
        <v>Q1</v>
      </c>
      <c r="H74">
        <v>2025</v>
      </c>
      <c r="I74">
        <f>_xlfn.NUMBERVALUE(SUBSTITUTE(J74,",",""))</f>
        <v>28</v>
      </c>
      <c r="J74" s="9">
        <v>28</v>
      </c>
    </row>
    <row r="75" spans="1:10" x14ac:dyDescent="0.2">
      <c r="A75">
        <v>2</v>
      </c>
      <c r="B75" t="s">
        <v>7</v>
      </c>
      <c r="C75" t="s">
        <v>28</v>
      </c>
      <c r="D75" t="s">
        <v>29</v>
      </c>
      <c r="E75" t="s">
        <v>30</v>
      </c>
      <c r="F75">
        <v>2</v>
      </c>
      <c r="G75" t="str">
        <f t="shared" si="2"/>
        <v>Q2</v>
      </c>
      <c r="H75">
        <v>2025</v>
      </c>
      <c r="I75">
        <f>_xlfn.NUMBERVALUE(SUBSTITUTE(J75,",",""))</f>
        <v>972</v>
      </c>
      <c r="J75" s="9">
        <v>972</v>
      </c>
    </row>
    <row r="76" spans="1:10" x14ac:dyDescent="0.2">
      <c r="A76">
        <v>91</v>
      </c>
      <c r="B76" t="s">
        <v>11</v>
      </c>
      <c r="C76" t="s">
        <v>8</v>
      </c>
      <c r="D76" t="s">
        <v>32</v>
      </c>
      <c r="E76" t="s">
        <v>33</v>
      </c>
      <c r="F76">
        <v>2</v>
      </c>
      <c r="G76" t="str">
        <f t="shared" si="2"/>
        <v>Q2</v>
      </c>
      <c r="H76">
        <v>2025</v>
      </c>
      <c r="I76">
        <f>_xlfn.NUMBERVALUE(SUBSTITUTE(J76,",",""))</f>
        <v>301</v>
      </c>
      <c r="J76" s="9">
        <v>301</v>
      </c>
    </row>
    <row r="77" spans="1:10" x14ac:dyDescent="0.2">
      <c r="A77">
        <v>59</v>
      </c>
      <c r="B77" t="s">
        <v>24</v>
      </c>
      <c r="C77" t="s">
        <v>35</v>
      </c>
      <c r="D77" t="s">
        <v>36</v>
      </c>
      <c r="E77" t="s">
        <v>37</v>
      </c>
      <c r="F77">
        <v>2</v>
      </c>
      <c r="G77" t="str">
        <f t="shared" si="2"/>
        <v>Q2</v>
      </c>
      <c r="H77">
        <v>2025</v>
      </c>
      <c r="I77">
        <f>_xlfn.NUMBERVALUE(SUBSTITUTE(J77,",",""))</f>
        <v>894</v>
      </c>
      <c r="J77" s="9">
        <v>894</v>
      </c>
    </row>
    <row r="78" spans="1:10" x14ac:dyDescent="0.2">
      <c r="A78">
        <v>185</v>
      </c>
      <c r="B78" t="s">
        <v>17</v>
      </c>
      <c r="C78" t="s">
        <v>12</v>
      </c>
      <c r="D78" t="s">
        <v>39</v>
      </c>
      <c r="E78" t="s">
        <v>40</v>
      </c>
      <c r="F78">
        <v>2</v>
      </c>
      <c r="G78" t="str">
        <f t="shared" si="2"/>
        <v>Q2</v>
      </c>
      <c r="H78">
        <v>2025</v>
      </c>
      <c r="I78">
        <f>_xlfn.NUMBERVALUE(SUBSTITUTE(J78,",",""))</f>
        <v>1700</v>
      </c>
      <c r="J78" s="9">
        <v>1700</v>
      </c>
    </row>
    <row r="79" spans="1:10" x14ac:dyDescent="0.2">
      <c r="A79">
        <v>17</v>
      </c>
      <c r="B79" t="s">
        <v>27</v>
      </c>
      <c r="C79" t="s">
        <v>20</v>
      </c>
      <c r="D79" t="s">
        <v>41</v>
      </c>
      <c r="E79" t="s">
        <v>42</v>
      </c>
      <c r="F79">
        <v>2</v>
      </c>
      <c r="G79" t="str">
        <f t="shared" si="2"/>
        <v>Q2</v>
      </c>
      <c r="H79">
        <v>2025</v>
      </c>
      <c r="I79">
        <f>_xlfn.NUMBERVALUE(SUBSTITUTE(J79,",",""))</f>
        <v>30</v>
      </c>
      <c r="J79" s="9">
        <v>30</v>
      </c>
    </row>
    <row r="80" spans="1:10" x14ac:dyDescent="0.2">
      <c r="A80">
        <v>94</v>
      </c>
      <c r="B80" t="s">
        <v>31</v>
      </c>
      <c r="C80" t="s">
        <v>20</v>
      </c>
      <c r="D80" t="s">
        <v>43</v>
      </c>
      <c r="E80" t="s">
        <v>44</v>
      </c>
      <c r="F80">
        <v>2</v>
      </c>
      <c r="G80" t="str">
        <f t="shared" si="2"/>
        <v>Q2</v>
      </c>
      <c r="H80">
        <v>2025</v>
      </c>
      <c r="I80">
        <f>_xlfn.NUMBERVALUE(SUBSTITUTE(J80,",",""))</f>
        <v>39</v>
      </c>
      <c r="J80" s="9">
        <v>39</v>
      </c>
    </row>
    <row r="81" spans="1:10" x14ac:dyDescent="0.2">
      <c r="A81">
        <v>83</v>
      </c>
      <c r="B81" t="s">
        <v>34</v>
      </c>
      <c r="C81" t="s">
        <v>35</v>
      </c>
      <c r="D81" t="s">
        <v>43</v>
      </c>
      <c r="E81" t="s">
        <v>44</v>
      </c>
      <c r="F81">
        <v>2</v>
      </c>
      <c r="G81" t="str">
        <f t="shared" si="2"/>
        <v>Q2</v>
      </c>
      <c r="H81">
        <v>2025</v>
      </c>
      <c r="I81">
        <f>_xlfn.NUMBERVALUE(SUBSTITUTE(J81,",",""))</f>
        <v>25</v>
      </c>
      <c r="J81" s="9">
        <v>25</v>
      </c>
    </row>
    <row r="82" spans="1:10" x14ac:dyDescent="0.2">
      <c r="A82">
        <v>67</v>
      </c>
      <c r="B82" t="s">
        <v>24</v>
      </c>
      <c r="C82" t="s">
        <v>45</v>
      </c>
      <c r="D82" t="s">
        <v>46</v>
      </c>
      <c r="E82" t="s">
        <v>26</v>
      </c>
      <c r="F82">
        <v>2</v>
      </c>
      <c r="G82" t="str">
        <f t="shared" si="2"/>
        <v>Q2</v>
      </c>
      <c r="H82">
        <v>2025</v>
      </c>
      <c r="I82">
        <f>_xlfn.NUMBERVALUE(SUBSTITUTE(J82,",",""))</f>
        <v>49</v>
      </c>
      <c r="J82" s="9">
        <v>49</v>
      </c>
    </row>
    <row r="83" spans="1:10" x14ac:dyDescent="0.2">
      <c r="A83">
        <v>152</v>
      </c>
      <c r="B83" t="s">
        <v>7</v>
      </c>
      <c r="C83" t="s">
        <v>12</v>
      </c>
      <c r="D83" t="s">
        <v>47</v>
      </c>
      <c r="E83" t="s">
        <v>48</v>
      </c>
      <c r="F83">
        <v>3</v>
      </c>
      <c r="G83" t="str">
        <f t="shared" si="2"/>
        <v>Q3</v>
      </c>
      <c r="H83">
        <v>2025</v>
      </c>
      <c r="I83">
        <f>_xlfn.NUMBERVALUE(SUBSTITUTE(J83,",",""))</f>
        <v>49</v>
      </c>
      <c r="J83" s="9">
        <v>49</v>
      </c>
    </row>
    <row r="84" spans="1:10" x14ac:dyDescent="0.2">
      <c r="A84">
        <v>114</v>
      </c>
      <c r="B84" t="s">
        <v>11</v>
      </c>
      <c r="C84" t="s">
        <v>12</v>
      </c>
      <c r="D84" t="s">
        <v>49</v>
      </c>
      <c r="E84" t="s">
        <v>50</v>
      </c>
      <c r="F84">
        <v>3</v>
      </c>
      <c r="G84" t="str">
        <f t="shared" si="2"/>
        <v>Q3</v>
      </c>
      <c r="H84">
        <v>2025</v>
      </c>
      <c r="I84">
        <f>_xlfn.NUMBERVALUE(SUBSTITUTE(J84,",",""))</f>
        <v>49</v>
      </c>
      <c r="J84" s="9">
        <v>49</v>
      </c>
    </row>
    <row r="85" spans="1:10" x14ac:dyDescent="0.2">
      <c r="A85">
        <v>127</v>
      </c>
      <c r="B85" t="s">
        <v>24</v>
      </c>
      <c r="C85" t="s">
        <v>8</v>
      </c>
      <c r="D85" t="s">
        <v>51</v>
      </c>
      <c r="E85" t="s">
        <v>42</v>
      </c>
      <c r="F85">
        <v>3</v>
      </c>
      <c r="G85" t="str">
        <f t="shared" si="2"/>
        <v>Q3</v>
      </c>
      <c r="H85">
        <v>2025</v>
      </c>
      <c r="I85">
        <f>_xlfn.NUMBERVALUE(SUBSTITUTE(J85,",",""))</f>
        <v>62</v>
      </c>
      <c r="J85" s="9">
        <v>62</v>
      </c>
    </row>
    <row r="86" spans="1:10" x14ac:dyDescent="0.2">
      <c r="A86">
        <v>105</v>
      </c>
      <c r="B86" t="s">
        <v>17</v>
      </c>
      <c r="C86" t="s">
        <v>38</v>
      </c>
      <c r="D86" t="s">
        <v>52</v>
      </c>
      <c r="E86" t="s">
        <v>53</v>
      </c>
      <c r="F86">
        <v>3</v>
      </c>
      <c r="G86" t="str">
        <f t="shared" si="2"/>
        <v>Q3</v>
      </c>
      <c r="H86">
        <v>2025</v>
      </c>
      <c r="I86">
        <f>_xlfn.NUMBERVALUE(SUBSTITUTE(J86,",",""))</f>
        <v>37</v>
      </c>
      <c r="J86" s="9">
        <v>37</v>
      </c>
    </row>
    <row r="87" spans="1:10" x14ac:dyDescent="0.2">
      <c r="A87">
        <v>116</v>
      </c>
      <c r="B87" t="s">
        <v>27</v>
      </c>
      <c r="C87" t="s">
        <v>12</v>
      </c>
      <c r="D87" t="s">
        <v>54</v>
      </c>
      <c r="E87" t="s">
        <v>55</v>
      </c>
      <c r="F87">
        <v>3</v>
      </c>
      <c r="G87" t="str">
        <f t="shared" si="2"/>
        <v>Q3</v>
      </c>
      <c r="H87">
        <v>2025</v>
      </c>
      <c r="I87">
        <f>_xlfn.NUMBERVALUE(SUBSTITUTE(J87,",",""))</f>
        <v>16</v>
      </c>
      <c r="J87" s="9">
        <v>16</v>
      </c>
    </row>
    <row r="88" spans="1:10" x14ac:dyDescent="0.2">
      <c r="A88">
        <v>28</v>
      </c>
      <c r="B88" t="s">
        <v>31</v>
      </c>
      <c r="C88" t="s">
        <v>56</v>
      </c>
      <c r="D88" t="s">
        <v>57</v>
      </c>
      <c r="E88" t="s">
        <v>22</v>
      </c>
      <c r="F88">
        <v>3</v>
      </c>
      <c r="G88" t="str">
        <f t="shared" si="2"/>
        <v>Q3</v>
      </c>
      <c r="H88">
        <v>2025</v>
      </c>
      <c r="I88">
        <f>_xlfn.NUMBERVALUE(SUBSTITUTE(J88,",",""))</f>
        <v>28</v>
      </c>
      <c r="J88" s="9">
        <v>28</v>
      </c>
    </row>
    <row r="89" spans="1:10" x14ac:dyDescent="0.2">
      <c r="A89">
        <v>108</v>
      </c>
      <c r="B89" t="s">
        <v>34</v>
      </c>
      <c r="C89" t="s">
        <v>58</v>
      </c>
      <c r="D89" t="s">
        <v>59</v>
      </c>
      <c r="E89" t="s">
        <v>60</v>
      </c>
      <c r="F89">
        <v>3</v>
      </c>
      <c r="G89" t="str">
        <f t="shared" si="2"/>
        <v>Q3</v>
      </c>
      <c r="H89">
        <v>2025</v>
      </c>
      <c r="I89">
        <f>_xlfn.NUMBERVALUE(SUBSTITUTE(J89,",",""))</f>
        <v>25</v>
      </c>
      <c r="J89" s="9">
        <v>25</v>
      </c>
    </row>
    <row r="90" spans="1:10" x14ac:dyDescent="0.2">
      <c r="A90">
        <v>57</v>
      </c>
      <c r="B90" t="s">
        <v>24</v>
      </c>
      <c r="C90" t="s">
        <v>56</v>
      </c>
      <c r="D90" t="s">
        <v>61</v>
      </c>
      <c r="E90" t="s">
        <v>62</v>
      </c>
      <c r="F90">
        <v>3</v>
      </c>
      <c r="G90" t="str">
        <f t="shared" si="2"/>
        <v>Q3</v>
      </c>
      <c r="H90">
        <v>2025</v>
      </c>
      <c r="I90">
        <f>_xlfn.NUMBERVALUE(SUBSTITUTE(J90,",",""))</f>
        <v>43</v>
      </c>
      <c r="J90" s="9">
        <v>43</v>
      </c>
    </row>
    <row r="91" spans="1:10" x14ac:dyDescent="0.2">
      <c r="A91">
        <v>140</v>
      </c>
      <c r="B91" t="s">
        <v>7</v>
      </c>
      <c r="C91" t="s">
        <v>35</v>
      </c>
      <c r="D91" t="s">
        <v>63</v>
      </c>
      <c r="E91" t="s">
        <v>64</v>
      </c>
      <c r="F91">
        <v>4</v>
      </c>
      <c r="G91" t="str">
        <f t="shared" si="2"/>
        <v>Q4</v>
      </c>
      <c r="H91">
        <v>2025</v>
      </c>
      <c r="I91">
        <f>_xlfn.NUMBERVALUE(SUBSTITUTE(J91,",",""))</f>
        <v>50</v>
      </c>
      <c r="J91" s="9">
        <v>50</v>
      </c>
    </row>
    <row r="92" spans="1:10" x14ac:dyDescent="0.2">
      <c r="A92">
        <v>110</v>
      </c>
      <c r="B92" t="s">
        <v>11</v>
      </c>
      <c r="C92" t="s">
        <v>14</v>
      </c>
      <c r="D92" t="s">
        <v>65</v>
      </c>
      <c r="E92" t="s">
        <v>66</v>
      </c>
      <c r="F92">
        <v>4</v>
      </c>
      <c r="G92" t="str">
        <f t="shared" si="2"/>
        <v>Q4</v>
      </c>
      <c r="H92">
        <v>2025</v>
      </c>
      <c r="I92">
        <f>_xlfn.NUMBERVALUE(SUBSTITUTE(J92,",",""))</f>
        <v>29</v>
      </c>
      <c r="J92" s="9">
        <v>29</v>
      </c>
    </row>
    <row r="93" spans="1:10" x14ac:dyDescent="0.2">
      <c r="A93">
        <v>112</v>
      </c>
      <c r="B93" t="s">
        <v>24</v>
      </c>
      <c r="C93" t="s">
        <v>12</v>
      </c>
      <c r="D93" t="s">
        <v>67</v>
      </c>
      <c r="E93" t="s">
        <v>68</v>
      </c>
      <c r="F93">
        <v>4</v>
      </c>
      <c r="G93" t="str">
        <f t="shared" si="2"/>
        <v>Q4</v>
      </c>
      <c r="H93">
        <v>2025</v>
      </c>
      <c r="I93">
        <f>_xlfn.NUMBERVALUE(SUBSTITUTE(J93,",",""))</f>
        <v>25</v>
      </c>
      <c r="J93" s="9">
        <v>25</v>
      </c>
    </row>
    <row r="94" spans="1:10" x14ac:dyDescent="0.2">
      <c r="A94">
        <v>113</v>
      </c>
      <c r="B94" t="s">
        <v>17</v>
      </c>
      <c r="C94" t="s">
        <v>12</v>
      </c>
      <c r="D94" t="s">
        <v>69</v>
      </c>
      <c r="E94" t="s">
        <v>33</v>
      </c>
      <c r="F94">
        <v>4</v>
      </c>
      <c r="G94" t="str">
        <f t="shared" si="2"/>
        <v>Q4</v>
      </c>
      <c r="H94">
        <v>2025</v>
      </c>
      <c r="I94">
        <f>_xlfn.NUMBERVALUE(SUBSTITUTE(J94,",",""))</f>
        <v>44</v>
      </c>
      <c r="J94" s="9">
        <v>44</v>
      </c>
    </row>
    <row r="95" spans="1:10" x14ac:dyDescent="0.2">
      <c r="A95">
        <v>41</v>
      </c>
      <c r="B95" t="s">
        <v>27</v>
      </c>
      <c r="C95" t="s">
        <v>56</v>
      </c>
      <c r="D95" t="s">
        <v>70</v>
      </c>
      <c r="E95" t="s">
        <v>23</v>
      </c>
      <c r="F95">
        <v>4</v>
      </c>
      <c r="G95" t="str">
        <f t="shared" si="2"/>
        <v>Q4</v>
      </c>
      <c r="H95">
        <v>2025</v>
      </c>
      <c r="I95">
        <f>_xlfn.NUMBERVALUE(SUBSTITUTE(J95,",",""))</f>
        <v>54</v>
      </c>
      <c r="J95" s="9">
        <v>54</v>
      </c>
    </row>
    <row r="96" spans="1:10" x14ac:dyDescent="0.2">
      <c r="A96"/>
      <c r="B96" t="s">
        <v>31</v>
      </c>
      <c r="C96" t="s">
        <v>12</v>
      </c>
      <c r="D96" t="s">
        <v>71</v>
      </c>
      <c r="E96" t="s">
        <v>72</v>
      </c>
      <c r="F96">
        <v>4</v>
      </c>
      <c r="G96" t="str">
        <f t="shared" si="2"/>
        <v>Q4</v>
      </c>
      <c r="H96">
        <v>2025</v>
      </c>
      <c r="I96">
        <f>_xlfn.NUMBERVALUE(SUBSTITUTE(J96,",",""))</f>
        <v>65</v>
      </c>
      <c r="J96" s="9">
        <v>65</v>
      </c>
    </row>
    <row r="97" spans="1:10" x14ac:dyDescent="0.2">
      <c r="A97"/>
      <c r="B97" t="s">
        <v>34</v>
      </c>
      <c r="C97" t="s">
        <v>12</v>
      </c>
      <c r="D97" t="s">
        <v>73</v>
      </c>
      <c r="E97" t="s">
        <v>42</v>
      </c>
      <c r="F97">
        <v>4</v>
      </c>
      <c r="G97" t="str">
        <f t="shared" si="2"/>
        <v>Q4</v>
      </c>
      <c r="H97">
        <v>2025</v>
      </c>
      <c r="I97">
        <f>_xlfn.NUMBERVALUE(SUBSTITUTE(J97,",",""))</f>
        <v>32</v>
      </c>
      <c r="J97" s="9">
        <v>32</v>
      </c>
    </row>
    <row r="98" spans="1:10" x14ac:dyDescent="0.2">
      <c r="A98"/>
      <c r="B98" t="s">
        <v>24</v>
      </c>
      <c r="C98" t="s">
        <v>12</v>
      </c>
      <c r="D98" t="s">
        <v>74</v>
      </c>
      <c r="E98" t="s">
        <v>75</v>
      </c>
      <c r="F98">
        <v>4</v>
      </c>
      <c r="G98" t="str">
        <f t="shared" ref="G98:G129" si="3">"Q"&amp;F98</f>
        <v>Q4</v>
      </c>
      <c r="H98">
        <v>2025</v>
      </c>
      <c r="I98">
        <f>_xlfn.NUMBERVALUE(SUBSTITUTE(J98,",",""))</f>
        <v>21</v>
      </c>
      <c r="J98" s="9">
        <v>21</v>
      </c>
    </row>
    <row r="99" spans="1:10" x14ac:dyDescent="0.2"/>
    <row r="100" spans="1:10" x14ac:dyDescent="0.2"/>
    <row r="101" spans="1:10" x14ac:dyDescent="0.2"/>
    <row r="102" spans="1:10" x14ac:dyDescent="0.2"/>
    <row r="103" spans="1:10" x14ac:dyDescent="0.2"/>
    <row r="104" spans="1:10" x14ac:dyDescent="0.2"/>
    <row r="105" spans="1:10" x14ac:dyDescent="0.2"/>
    <row r="106" spans="1:10" x14ac:dyDescent="0.2"/>
    <row r="107" spans="1:10" x14ac:dyDescent="0.2"/>
    <row r="108" spans="1:10" x14ac:dyDescent="0.2"/>
    <row r="109" spans="1:10" x14ac:dyDescent="0.2"/>
    <row r="110" spans="1:10" x14ac:dyDescent="0.2"/>
    <row r="111" spans="1:10" x14ac:dyDescent="0.2"/>
    <row r="112" spans="1:10"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sheetData>
  <printOptions horizontalCentered="1" gridLines="1"/>
  <pageMargins left="0.5" right="0.5" top="0.5" bottom="0.75" header="0.3" footer="0.3"/>
  <pageSetup paperSize="5" scale="49" fitToHeight="5" orientation="landscape" r:id="rId1"/>
  <headerFooter>
    <oddFooter>&amp;Lhttps://www.health.state.mn.us/data/economics/hccis/index.html
health.hccis@state.mn.us&amp;C&amp;P of &amp;N&amp;RHealth Care Cost Information System (HCCIS)
Minnesota Department of Health</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Sheet1</vt:lpstr>
      <vt:lpstr>Sheet2</vt:lpstr>
      <vt:lpstr>Sheet3</vt:lpstr>
      <vt:lpstr>Sheet4</vt:lpstr>
      <vt:lpstr>dashboard</vt:lpstr>
      <vt:lpstr>Admissions by Payer</vt:lpstr>
      <vt:lpstr>'Admissions by Payer'!Print_Area</vt:lpstr>
      <vt:lpstr>'Admissions by Payer'!Print_Titles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Minnesota Hospitals Admissions by Care Unit of the Hospital Data</dc:title>
  <dc:creator>Minnesota Department of Health HEP HCCIS</dc:creator>
  <dc:description/>
  <cp:lastModifiedBy>Samy N</cp:lastModifiedBy>
  <cp:lastPrinted>2021-08-20T14:33:39Z</cp:lastPrinted>
  <dcterms:created xsi:type="dcterms:W3CDTF">2006-10-19T15:01:45Z</dcterms:created>
  <dcterms:modified xsi:type="dcterms:W3CDTF">2026-05-19T01:21:04Z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1000380538</vt:i4>
  </property>
  <property fmtid="{D5CDD505-2E9C-101B-9397-08002B2CF9AE}" pid="3" name="_NewReviewCycle">
    <vt:lpwstr/>
  </property>
  <property fmtid="{D5CDD505-2E9C-101B-9397-08002B2CF9AE}" pid="4" name="_EmailSubject">
    <vt:lpwstr>business journal request for UNaudited data</vt:lpwstr>
  </property>
  <property fmtid="{D5CDD505-2E9C-101B-9397-08002B2CF9AE}" pid="5" name="_AuthorEmail">
    <vt:lpwstr>stefan.gildemeister@state.mn.us</vt:lpwstr>
  </property>
  <property fmtid="{D5CDD505-2E9C-101B-9397-08002B2CF9AE}" pid="6" name="_AuthorEmailDisplayName">
    <vt:lpwstr>Gildemeister, Stefan (MDH)</vt:lpwstr>
  </property>
  <property fmtid="{D5CDD505-2E9C-101B-9397-08002B2CF9AE}" pid="7" name="_ReviewingToolsShownOnce">
    <vt:lpwstr/>
  </property>
</Properties>
</file>